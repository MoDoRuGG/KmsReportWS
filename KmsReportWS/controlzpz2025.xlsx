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1FB0908C-02F6-4106-85C3-E2C2993B0C2B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Экспертиза" sheetId="1" r:id="rId1"/>
    <sheet name="Нормативы" sheetId="2" r:id="rId2"/>
    <sheet name="Финансы" sheetId="3" r:id="rId3"/>
    <sheet name="Кадры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A7" i="1" l="1"/>
  <c r="BA6" i="1"/>
  <c r="AX7" i="1"/>
  <c r="AX6" i="1"/>
  <c r="AU7" i="1"/>
  <c r="AU6" i="1"/>
  <c r="AQ7" i="1"/>
  <c r="AQ6" i="1"/>
  <c r="AI7" i="1"/>
  <c r="AI6" i="1"/>
  <c r="AI8" i="1" s="1"/>
  <c r="S7" i="1"/>
  <c r="S6" i="1"/>
  <c r="S8" i="1" s="1"/>
  <c r="P7" i="1"/>
  <c r="P6" i="1"/>
  <c r="H7" i="1"/>
  <c r="H6" i="1"/>
  <c r="E7" i="1"/>
  <c r="E6" i="1"/>
  <c r="E8" i="1" s="1"/>
  <c r="C8" i="1"/>
  <c r="D8" i="1"/>
  <c r="F8" i="1"/>
  <c r="G8" i="1"/>
  <c r="H8" i="1"/>
  <c r="I8" i="1"/>
  <c r="J8" i="1"/>
  <c r="K8" i="1"/>
  <c r="L8" i="1"/>
  <c r="M8" i="1"/>
  <c r="N8" i="1"/>
  <c r="O8" i="1"/>
  <c r="Q8" i="1"/>
  <c r="R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J8" i="1"/>
  <c r="AK8" i="1"/>
  <c r="AL8" i="1"/>
  <c r="AM8" i="1"/>
  <c r="AN8" i="1"/>
  <c r="AO8" i="1"/>
  <c r="AP8" i="1"/>
  <c r="AR8" i="1"/>
  <c r="AS8" i="1"/>
  <c r="AT8" i="1"/>
  <c r="AV8" i="1"/>
  <c r="AW8" i="1"/>
  <c r="AX8" i="1"/>
  <c r="AY8" i="1"/>
  <c r="AZ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P8" i="1" l="1"/>
  <c r="BA8" i="1"/>
  <c r="AU8" i="1"/>
  <c r="AQ8" i="1"/>
  <c r="AL7" i="2" l="1"/>
  <c r="AL6" i="2"/>
  <c r="AG7" i="2"/>
  <c r="AG6" i="2"/>
  <c r="AB7" i="2"/>
  <c r="AB6" i="2"/>
  <c r="Y7" i="2"/>
  <c r="Y6" i="2"/>
  <c r="V7" i="2"/>
  <c r="V6" i="2"/>
  <c r="P7" i="2"/>
  <c r="P6" i="2"/>
  <c r="J7" i="2"/>
  <c r="J6" i="2"/>
  <c r="F7" i="2"/>
  <c r="F6" i="2"/>
  <c r="AF8" i="2" l="1"/>
  <c r="AE8" i="2"/>
  <c r="AD8" i="2"/>
  <c r="AC8" i="2"/>
  <c r="AH8" i="2"/>
  <c r="AI8" i="2"/>
  <c r="AJ8" i="2"/>
  <c r="AA8" i="2"/>
  <c r="X8" i="2"/>
  <c r="R8" i="2"/>
  <c r="S8" i="2"/>
  <c r="T8" i="2"/>
  <c r="U8" i="2"/>
  <c r="L8" i="2"/>
  <c r="M8" i="2"/>
  <c r="N8" i="2"/>
  <c r="O8" i="2"/>
  <c r="CC4" i="4" l="1"/>
  <c r="CF4" i="4"/>
  <c r="CF6" i="4" s="1"/>
  <c r="CI4" i="4"/>
  <c r="CL4" i="4"/>
  <c r="CO4" i="4"/>
  <c r="CO6" i="4" s="1"/>
  <c r="CR4" i="4"/>
  <c r="CR6" i="4" s="1"/>
  <c r="CC5" i="4"/>
  <c r="CF5" i="4"/>
  <c r="CI5" i="4"/>
  <c r="CL5" i="4"/>
  <c r="CO5" i="4"/>
  <c r="CR5" i="4"/>
  <c r="CC6" i="4"/>
  <c r="CD6" i="4"/>
  <c r="CE6" i="4"/>
  <c r="CG6" i="4"/>
  <c r="CH6" i="4"/>
  <c r="CI6" i="4"/>
  <c r="CJ6" i="4"/>
  <c r="CK6" i="4"/>
  <c r="CL6" i="4"/>
  <c r="CM6" i="4"/>
  <c r="CN6" i="4"/>
  <c r="CP6" i="4"/>
  <c r="CQ6" i="4"/>
  <c r="CS6" i="4"/>
  <c r="CT6" i="4"/>
  <c r="BZ5" i="4"/>
  <c r="BZ4" i="4"/>
  <c r="D6" i="4"/>
  <c r="E6" i="4"/>
  <c r="G6" i="4"/>
  <c r="H6" i="4"/>
  <c r="J6" i="4"/>
  <c r="K6" i="4"/>
  <c r="M6" i="4"/>
  <c r="N6" i="4"/>
  <c r="O6" i="4"/>
  <c r="P6" i="4"/>
  <c r="Q6" i="4"/>
  <c r="S6" i="4"/>
  <c r="T6" i="4"/>
  <c r="V6" i="4"/>
  <c r="W6" i="4"/>
  <c r="Y6" i="4"/>
  <c r="Z6" i="4"/>
  <c r="AB6" i="4"/>
  <c r="AC6" i="4"/>
  <c r="AE6" i="4"/>
  <c r="AF6" i="4"/>
  <c r="AG6" i="4"/>
  <c r="AH6" i="4"/>
  <c r="AI6" i="4"/>
  <c r="AK6" i="4"/>
  <c r="AL6" i="4"/>
  <c r="AN6" i="4"/>
  <c r="AO6" i="4"/>
  <c r="AQ6" i="4"/>
  <c r="AR6" i="4"/>
  <c r="AT6" i="4"/>
  <c r="AU6" i="4"/>
  <c r="AW6" i="4"/>
  <c r="AX6" i="4"/>
  <c r="AY6" i="4"/>
  <c r="AZ6" i="4"/>
  <c r="BA6" i="4"/>
  <c r="BC6" i="4"/>
  <c r="BD6" i="4"/>
  <c r="BF6" i="4"/>
  <c r="BG6" i="4"/>
  <c r="BI6" i="4"/>
  <c r="BJ6" i="4"/>
  <c r="BL6" i="4"/>
  <c r="BM6" i="4"/>
  <c r="BO6" i="4"/>
  <c r="BP6" i="4"/>
  <c r="BQ6" i="4"/>
  <c r="BR6" i="4"/>
  <c r="BS6" i="4"/>
  <c r="BU6" i="4"/>
  <c r="BV6" i="4"/>
  <c r="BW6" i="4"/>
  <c r="BX6" i="4"/>
  <c r="BY6" i="4"/>
  <c r="CA6" i="4"/>
  <c r="CB6" i="4"/>
  <c r="F4" i="4"/>
  <c r="F6" i="4" s="1"/>
  <c r="I4" i="4"/>
  <c r="I6" i="4" s="1"/>
  <c r="L4" i="4"/>
  <c r="L6" i="4" s="1"/>
  <c r="O4" i="4"/>
  <c r="R4" i="4"/>
  <c r="R6" i="4" s="1"/>
  <c r="U4" i="4"/>
  <c r="U6" i="4" s="1"/>
  <c r="X4" i="4"/>
  <c r="X6" i="4" s="1"/>
  <c r="AA4" i="4"/>
  <c r="AA6" i="4" s="1"/>
  <c r="AD4" i="4"/>
  <c r="AD6" i="4" s="1"/>
  <c r="AG4" i="4"/>
  <c r="AJ4" i="4"/>
  <c r="AJ6" i="4" s="1"/>
  <c r="AM4" i="4"/>
  <c r="AM6" i="4" s="1"/>
  <c r="AP4" i="4"/>
  <c r="AP6" i="4" s="1"/>
  <c r="AS4" i="4"/>
  <c r="AS6" i="4" s="1"/>
  <c r="AV4" i="4"/>
  <c r="AV6" i="4" s="1"/>
  <c r="AY4" i="4"/>
  <c r="BB4" i="4"/>
  <c r="BB6" i="4" s="1"/>
  <c r="BE4" i="4"/>
  <c r="BE6" i="4" s="1"/>
  <c r="BH4" i="4"/>
  <c r="BH6" i="4" s="1"/>
  <c r="BK4" i="4"/>
  <c r="BK6" i="4" s="1"/>
  <c r="BN4" i="4"/>
  <c r="BN6" i="4" s="1"/>
  <c r="BQ4" i="4"/>
  <c r="BT4" i="4"/>
  <c r="BT6" i="4" s="1"/>
  <c r="BW4" i="4"/>
  <c r="BZ6" i="4"/>
  <c r="F5" i="4"/>
  <c r="I5" i="4"/>
  <c r="L5" i="4"/>
  <c r="O5" i="4"/>
  <c r="R5" i="4"/>
  <c r="U5" i="4"/>
  <c r="X5" i="4"/>
  <c r="AA5" i="4"/>
  <c r="AD5" i="4"/>
  <c r="AG5" i="4"/>
  <c r="AJ5" i="4"/>
  <c r="AM5" i="4"/>
  <c r="AP5" i="4"/>
  <c r="AS5" i="4"/>
  <c r="AV5" i="4"/>
  <c r="AY5" i="4"/>
  <c r="BB5" i="4"/>
  <c r="BE5" i="4"/>
  <c r="BH5" i="4"/>
  <c r="BK5" i="4"/>
  <c r="BN5" i="4"/>
  <c r="BQ5" i="4"/>
  <c r="BT5" i="4"/>
  <c r="BW5" i="4"/>
  <c r="C4" i="4"/>
  <c r="C5" i="4"/>
  <c r="C6" i="4" l="1"/>
  <c r="D8" i="3" l="1"/>
  <c r="E8" i="3"/>
  <c r="F8" i="3"/>
  <c r="G8" i="3"/>
  <c r="C8" i="3"/>
  <c r="D8" i="2" l="1"/>
  <c r="E8" i="2"/>
  <c r="G8" i="2"/>
  <c r="H8" i="2"/>
  <c r="J8" i="2" s="1"/>
  <c r="I8" i="2"/>
  <c r="K8" i="2"/>
  <c r="Q8" i="2"/>
  <c r="W8" i="2"/>
  <c r="Z8" i="2"/>
  <c r="AB8" i="2" s="1"/>
  <c r="AK8" i="2"/>
  <c r="C8" i="2"/>
  <c r="AG8" i="2" l="1"/>
  <c r="P8" i="2"/>
  <c r="Y8" i="2"/>
  <c r="V8" i="2"/>
  <c r="AL8" i="2"/>
  <c r="F8" i="2"/>
  <c r="B8" i="1"/>
</calcChain>
</file>

<file path=xl/sharedStrings.xml><?xml version="1.0" encoding="utf-8"?>
<sst xmlns="http://schemas.openxmlformats.org/spreadsheetml/2006/main" count="351" uniqueCount="213">
  <si>
    <t>МЭЭ</t>
  </si>
  <si>
    <t>ЭКМП</t>
  </si>
  <si>
    <t>Наименование субъекта</t>
  </si>
  <si>
    <t>Количество страховых случаев, подвергшихся МЭЭ</t>
  </si>
  <si>
    <t>Количество страховых случаев, подвергшихся ЭКМП</t>
  </si>
  <si>
    <t>Количество выявленных нарушений</t>
  </si>
  <si>
    <t>№ п/п</t>
  </si>
  <si>
    <t>Наименование филиала</t>
  </si>
  <si>
    <t>Сумма средств, направленная МО за оказанную медицинскую помощь (руб.)</t>
  </si>
  <si>
    <t>по результатам МЭК</t>
  </si>
  <si>
    <t>по результатам МЭЭ</t>
  </si>
  <si>
    <t>по результатам ЭКМП</t>
  </si>
  <si>
    <t>Сумма неоплаты (уменьшения оплаты) медицинской помощи, штрафов с медицинских организаций
 (руб.)</t>
  </si>
  <si>
    <t>Количество оплаченных страховых случаев</t>
  </si>
  <si>
    <t>Количество МЭЭ, проведенных по жалобам застрахованных лиц и их представителей</t>
  </si>
  <si>
    <t>повторные обращения по поводу одного и того же заболевания</t>
  </si>
  <si>
    <t>оказание медицинской помощи по профилю "онкология" с применением лекарственной противоопухолевой терапии, всего, в том числе:</t>
  </si>
  <si>
    <t>т.5а стр 1 гр 3</t>
  </si>
  <si>
    <t>т.6.с.1. гр.3+10</t>
  </si>
  <si>
    <t>т.6.с.1.8 гр.3+10</t>
  </si>
  <si>
    <t>т.6.с.1.9. гр.3</t>
  </si>
  <si>
    <t>т.6.с.1.10. гр.3</t>
  </si>
  <si>
    <t>т.6.с.1.11. гр.3+10</t>
  </si>
  <si>
    <t>т.6.с.1.12. гр.3+10</t>
  </si>
  <si>
    <t>т.6.с.1.13. гр.3</t>
  </si>
  <si>
    <t>т.6.с.3. гр.3+10</t>
  </si>
  <si>
    <t>т.6.с.4. гр.3+10</t>
  </si>
  <si>
    <t>т.6.с.4.8 гр.3+10</t>
  </si>
  <si>
    <t>Т.6. с. 4.9. гр.3+10</t>
  </si>
  <si>
    <t>Т.6.с.4.10.гр.3+10</t>
  </si>
  <si>
    <t>Т.6.с.4.11.3+10</t>
  </si>
  <si>
    <t>Т.6.с.4.12.3+10</t>
  </si>
  <si>
    <t>Т.6.с.4.13.3+10</t>
  </si>
  <si>
    <t>Т.6.с.4.14.3+10</t>
  </si>
  <si>
    <t>Т.6.с.4.15.3+10</t>
  </si>
  <si>
    <t>Т.6.с.4.16.3+10</t>
  </si>
  <si>
    <t>Т.6.с.4.17.3+10</t>
  </si>
  <si>
    <t>Т.6.с.4.18.3+10</t>
  </si>
  <si>
    <t>Т.6.с.4.19.3+10</t>
  </si>
  <si>
    <t>Т.6.с.4.20.3+10</t>
  </si>
  <si>
    <t>т.7.с.1. гр.3+10</t>
  </si>
  <si>
    <t>т.7.с.1.8. гр.3</t>
  </si>
  <si>
    <t>т.7.с.1.9. гр.3+10</t>
  </si>
  <si>
    <t>т.7.с.1.10. гр.3+10</t>
  </si>
  <si>
    <t>т.7.с.1.11. гр.3+10</t>
  </si>
  <si>
    <t>т.7.с.2 гр.3</t>
  </si>
  <si>
    <t>т.7.с.3. гр.3+10</t>
  </si>
  <si>
    <t>т.7.с.3.9. гр.3+10</t>
  </si>
  <si>
    <t>т.7.с.3.10. гр.3+10</t>
  </si>
  <si>
    <t>т.7.с.5. гр.3+10</t>
  </si>
  <si>
    <t>т.7.с.6. гр.3+10</t>
  </si>
  <si>
    <t>т.7.с.6.9.гр.3+10</t>
  </si>
  <si>
    <t>т.7.с.6.10.гр.3+10</t>
  </si>
  <si>
    <t>т.7.с.6.11.гр.3+10</t>
  </si>
  <si>
    <t>т.7.с.6.12.гр.3+10</t>
  </si>
  <si>
    <t>т.7.с.6.13.гр.3+10</t>
  </si>
  <si>
    <t>т.7.с.6.16.гр.3+10</t>
  </si>
  <si>
    <t>т.7.с.6.17.гр.3+10</t>
  </si>
  <si>
    <t>т.7.с.6.18.гр.3+10</t>
  </si>
  <si>
    <t>т.7.с.6.19.гр.3+10</t>
  </si>
  <si>
    <t>т.7.с.6.20.гр.3+10</t>
  </si>
  <si>
    <t>т.7.с.6.21.гр.3+10</t>
  </si>
  <si>
    <t>т.7.с.6.22.гр.3+10</t>
  </si>
  <si>
    <t>застрахованных лиц, которые несвоевременно поставлены под диспансерное наблюдение</t>
  </si>
  <si>
    <t>летальный исход вне медицинской организации до приезда бригады скорой медицинской помощи, всего</t>
  </si>
  <si>
    <t>первичный выход на инвалидность лиц трудоспособного возраста и детей (получение инвалидности или при переосвидетельствовании), всего, в том числе:</t>
  </si>
  <si>
    <t>Количество страховых случаев с выявленными нарушениями</t>
  </si>
  <si>
    <t>взимание платы с застрахованных лиц за оказанную медицинскую помощь, всего, в том числе:</t>
  </si>
  <si>
    <t>несоответствие данных медицинской документации данным реестра счетов, всего, в том числе:</t>
  </si>
  <si>
    <t>связанные с нарушениями сроков ожидания медицинской помощи, установленных территориальной программой ОМС, всего, в том числе:</t>
  </si>
  <si>
    <t>нарушение условий оказания скорой медицинской помощи (несоблюдение времени доезда до пациента бригады скорой медицинской помощи, при летальном исходе до приезда бригады скорой медицинской помощи), всего</t>
  </si>
  <si>
    <t>повторные случаи госпитализации застрахованного лица по одному и тому же заболеванию, всего, в том числе:</t>
  </si>
  <si>
    <t>необоснованное представление в реестрах счетов случаев оказания застрахованному лицу медицинской помощи, оказанной в условиях дневного стационара в период пребывания в условиях круглосуточного стационара, всего, в том числе:</t>
  </si>
  <si>
    <t>приобретение пациентом или его представителем в период оказания медицинской помощи по назначению врача лекарственных препаратов для медицинского применения, всего, в том числе:</t>
  </si>
  <si>
    <t>отсутствие в реестре счетов сведений о страховом случае с летальным исходом, всего, в том числе:</t>
  </si>
  <si>
    <t>непредставление первичной медицинской документации, подтверждающей факт оказания застрахованному лицу медицинской помощи, всего, в том числе:</t>
  </si>
  <si>
    <t>отсутствие в документации (несоблюдение требований к оформлению) информированного добровольного согласия застрахованного лица на медицинское вмешательство или отказа застрахованного лица от медицинского вмешательства, всего, в том числе:</t>
  </si>
  <si>
    <t>наличие признаков искажения сведений, представленных в медицинской документации, всего, в том числе:</t>
  </si>
  <si>
    <t>дата оказания медицинской помощи, зарегистрированная в первичной медицинской документации и реестре счетов, не соответствует табелю учета рабочего времени врача, всего, в том числе:</t>
  </si>
  <si>
    <t>отсутствие в карте стационарного больного протокола врачебной комиссии в случаях назначения застрахованному лицу лекарственного препарата, не входящего в перечень жизненно необходимых и важнейших лекарственных препаратов, всего, в том числе:</t>
  </si>
  <si>
    <t>жалобы от застрахованных лиц или их представителей</t>
  </si>
  <si>
    <t>летальный исход (исключение случаи летального исхода</t>
  </si>
  <si>
    <t>случаи, отобранные по результатам МЭК, с ростом нарушений в одной медицинской организации в сравнении с предыдущим проверяемым периодом более чем на 10% по каждому виду, всего, в том числе:</t>
  </si>
  <si>
    <t>случаи, отобранные по результатам МЭЭ, всего, в томчисле:</t>
  </si>
  <si>
    <t>Количество страховых случаев, подвергшихся внеплановой тематической ЭКМП, всего, в том числе:</t>
  </si>
  <si>
    <t>Количество страховых случаев, подвергшихся мультидисциплинарной ЭКМП, всего, в том числе:</t>
  </si>
  <si>
    <t>случаи с летальным исходом, всего, в том числе:</t>
  </si>
  <si>
    <t>Количество страховых случаев, подвергшихся внеплановой тематической экспертизе ЭКМП, всего, в том числе:</t>
  </si>
  <si>
    <t>Количество случаев, необоснованно признанных СМО дефектными, всего, из них:</t>
  </si>
  <si>
    <t>Количество страховых случаев с выявленными нарушениями, всего</t>
  </si>
  <si>
    <t>в связи с установлением неверного диагноза, всего, в том числе:</t>
  </si>
  <si>
    <t>не повлиявшее на состояние здоровья застрахованного лица, всего, в том числе:</t>
  </si>
  <si>
    <t>приведшеек удиннению или укорочению сроков лечения</t>
  </si>
  <si>
    <t>приведшее к ухудшению состояния здоровья застрахованного лица, всего, в том числе:</t>
  </si>
  <si>
    <t>приведшее к инвалидизации, всего, в том числе:</t>
  </si>
  <si>
    <t>приведшее к летальному исходу, всего, в том числе:</t>
  </si>
  <si>
    <t>ненадлежащее выполнение диагностических и или лечебных мероприятий, оперативных вмешательств  всоответствие с порядкми оказания  медицинской помощи на основен клинических рекомендаций и с учетом стандартов медицинской помощи</t>
  </si>
  <si>
    <t>в связи с выполнением непоказанных с клинической точки зрения, не регламентированных порядками оказания медицинской помощи, клиническими рекомендациями, стандартами медицинской помощи мероприятий, приведшее к ухудшению состояния здоровья застрахованного лица</t>
  </si>
  <si>
    <t>в связи с преждевременным с клинической точки зрения прекращением оказания медицинской помощи при отсутствии клинического эффекта</t>
  </si>
  <si>
    <t>в связи с нарушением преемственности в оказании медицинской помощи по вине медицинской организации</t>
  </si>
  <si>
    <t>в связи с непрофильной госпитализацией, при оказании медицинской помощи</t>
  </si>
  <si>
    <t>в связи с необоснованной госпитализацией, при оказании медицинской помощи</t>
  </si>
  <si>
    <t>в связи с необоснованным повторным посещением врача одной и той же специальности в один день при оказании медицинской помощи амбулаторно</t>
  </si>
  <si>
    <t>расхождение 2 -3 категории</t>
  </si>
  <si>
    <t>в связи с необоснованным назначением лекарственных препаратов</t>
  </si>
  <si>
    <t>в связи с необоснованным отказом застрахованным лицам в оказании медицинской помощи в соответствии с программами ОМС</t>
  </si>
  <si>
    <t>в связи с непроведением диспансерного наблюдения застрахованного лица, включенного в группу диспансерного наблюдения, в соответствии с порядком и периодичностью проведения диспансерного наблюдения и перечнем включаемых в указанный порядок исследований</t>
  </si>
  <si>
    <t>в связи с нарушениями при оказании медицинской помощи, вследствие которых, при отсутствии положительной динамики в состоянии здоровья, потребовалось повторное обоснованное обращение застрахованного лица за медицинской помощью по поводу того же заболевания в течение 14 дней со дня окончания оказания медицинской помощи амбулаторно, 30 дней стационарно (повторная госпитализация)</t>
  </si>
  <si>
    <t>в связи с отсутствием в медицинской документации результатов обследований, осмотров, консультаций специалистов, дневниковых записей, позволяющих оценить динамику состояния здоровья застрахованного лица</t>
  </si>
  <si>
    <t>Число специалистов,участвующихв деятельности по обеспечению прав застрахованных лиц, всего,застрахованных лиц, всего,в том числе:</t>
  </si>
  <si>
    <t>в организациии при проведении  МЭЭ,ЭКМП из них:</t>
  </si>
  <si>
    <t>специалисты-эксперты, всего</t>
  </si>
  <si>
    <t>эксперты качества медицинской помощи, всего:</t>
  </si>
  <si>
    <t>количество проведенных экспертиз качества медицинской помощи экспертами качества медицинской помощи, всего, из них:</t>
  </si>
  <si>
    <t>плановых экспертиз качества медицинской помощи по страховым случаям, всего, из них:</t>
  </si>
  <si>
    <t>обжалованыпо результатам работы эксперта</t>
  </si>
  <si>
    <t>признаны необоснованными по результатам повторных экспертиз, проведенных ТФОМС, или в судебном порядке</t>
  </si>
  <si>
    <t>внеплановых целевых экспертиз качества медицинской помощи по страховым случаям, всего, из них:</t>
  </si>
  <si>
    <t>обжалованы по результатам работы эксперта</t>
  </si>
  <si>
    <t>признаны необоснованными по результатам повторных экспертиз, проведенныхТФОМС, или в судебном порядке</t>
  </si>
  <si>
    <t>внеплановых тематических экспертиз качества медицинской помощи по страховым случаям, всего, из них:</t>
  </si>
  <si>
    <t>мультидисциплинарных внеплановых целевых экспертиз качества медицинской помощи по страховым случаям, всего, из них:</t>
  </si>
  <si>
    <t>признаны необоснованными по результатам повторных экспертиз, проведенных ТФОМС, или в судебномпорядке</t>
  </si>
  <si>
    <t>Прошли подготовку по вопросам экспертной деятельности в сфере ОМС за отчетный период, всего</t>
  </si>
  <si>
    <t>Имеют квалификационную категорию, всего, из них:</t>
  </si>
  <si>
    <t>высшую</t>
  </si>
  <si>
    <t>первую</t>
  </si>
  <si>
    <t>вторую</t>
  </si>
  <si>
    <t>Имеют ученую степень, всего, из них:</t>
  </si>
  <si>
    <t>кандидата медицинских наук</t>
  </si>
  <si>
    <t>доктора медицинских наук</t>
  </si>
  <si>
    <t>Численность страховых представителей, всего, из них:</t>
  </si>
  <si>
    <t>численность страховых представителей первого уровня, всего, в том числе:</t>
  </si>
  <si>
    <t>прошедших специальную подготовку</t>
  </si>
  <si>
    <t>численность страховых представителей второго уровня, всего, в том числе:</t>
  </si>
  <si>
    <t>численность страховых представителей третьего уровня, всего, в том числе:</t>
  </si>
  <si>
    <t>ИТОГО:</t>
  </si>
  <si>
    <t>штатные работники</t>
  </si>
  <si>
    <t>привлекаемые по гражданско-правовому договору</t>
  </si>
  <si>
    <t>x</t>
  </si>
  <si>
    <t>МЭЭ  вне мед организации</t>
  </si>
  <si>
    <t>Кол-во экспертиз (внеплановые)</t>
  </si>
  <si>
    <t>Кол-во экспертиз (плановые)</t>
  </si>
  <si>
    <t>МЭЭ по АПП</t>
  </si>
  <si>
    <t>Кол-во экспертиз (целевые)</t>
  </si>
  <si>
    <t>МЭЭ по дневному стационару</t>
  </si>
  <si>
    <t>в том числе ВМП</t>
  </si>
  <si>
    <t>МЭЭ по стационару</t>
  </si>
  <si>
    <t>ЭКМП вне медицинской организации</t>
  </si>
  <si>
    <t>Кол-во экспертиз (внеплановые )</t>
  </si>
  <si>
    <t>Кол-во экспертиз  (плановые)</t>
  </si>
  <si>
    <t>ЭКМП по АПП</t>
  </si>
  <si>
    <t>ЭКМП по дневному стационару</t>
  </si>
  <si>
    <t>ЭКМП по стационару</t>
  </si>
  <si>
    <t>т. 6,  с. 1, гр. 4</t>
  </si>
  <si>
    <t>т. 6,  с. 1, гр. 11</t>
  </si>
  <si>
    <t>т. 6,  с. 1, гр. 5</t>
  </si>
  <si>
    <t>т. 6,  с. 1, гр. 12</t>
  </si>
  <si>
    <t>т. 6,  с. 1, гр. 6</t>
  </si>
  <si>
    <t>т. 6,  с. 1, гр. 7</t>
  </si>
  <si>
    <t>т. 6,  с. 1, гр. 13</t>
  </si>
  <si>
    <t>т. 6,  с. 1, гр. 14</t>
  </si>
  <si>
    <t>т. 6,  с. 1, гр. 15</t>
  </si>
  <si>
    <t>т. 6,  с. 1, гр. 16</t>
  </si>
  <si>
    <t>т. 7,  с. 1, гр. 4</t>
  </si>
  <si>
    <t>т. 8,  с. 1, гр. 11</t>
  </si>
  <si>
    <t>т. 7,  с. 1, гр 5</t>
  </si>
  <si>
    <t>т. 7,  с. 1, гр. 12</t>
  </si>
  <si>
    <t>т. 7,  с. 1, гр 6</t>
  </si>
  <si>
    <t>т. 7,  с. 1, гр 7</t>
  </si>
  <si>
    <t>т. 7,  с. 1, гр. 13</t>
  </si>
  <si>
    <t>т. 7,  с. 1, гр. 14</t>
  </si>
  <si>
    <t>т. 7,  с. 1, гр. 8</t>
  </si>
  <si>
    <t>т. 7,  с. 1, гр. 9</t>
  </si>
  <si>
    <t>т. 7,  с. 1, гр. 15</t>
  </si>
  <si>
    <t>т. 7,  с. 1, гр. 16</t>
  </si>
  <si>
    <t>т. 6,  с.1, гр. 8</t>
  </si>
  <si>
    <t>т. 6,  с.1, гр. 9</t>
  </si>
  <si>
    <t>т.6.с.1. гр.10</t>
  </si>
  <si>
    <t>т.6.с.1. гр.3</t>
  </si>
  <si>
    <t>т.6.с.1.8 гр.3</t>
  </si>
  <si>
    <t>т.6.с.1.8 гр.10</t>
  </si>
  <si>
    <t>т.6.с.3. гр.3</t>
  </si>
  <si>
    <t>т.6.с.3. гр.10</t>
  </si>
  <si>
    <t>т.6.с.4. гр.10</t>
  </si>
  <si>
    <t>т.6.с.4. гр.3</t>
  </si>
  <si>
    <t>т.7.с.1. гр.10</t>
  </si>
  <si>
    <t>т.7.с.1. гр.3</t>
  </si>
  <si>
    <t>т.7.с.3. гр.3</t>
  </si>
  <si>
    <t>т.7.с.3. гр.10</t>
  </si>
  <si>
    <t>т.7.с.3.10. гр.3</t>
  </si>
  <si>
    <t>т.7.с.3.10. гр.10</t>
  </si>
  <si>
    <t>т.7.с.6. гр.3</t>
  </si>
  <si>
    <t>т.7.с.6. гр.10</t>
  </si>
  <si>
    <t>т.7.с.5. гр.3</t>
  </si>
  <si>
    <t>т.7.с.5. гр.10</t>
  </si>
  <si>
    <t>т.8, стр.1, гр.3</t>
  </si>
  <si>
    <t>т.8, стр. 2, гр.3</t>
  </si>
  <si>
    <t>т.8, стр.3, гр.3</t>
  </si>
  <si>
    <t>т.8, стр.4, гр.3</t>
  </si>
  <si>
    <t>т.8, стр. 5, гр.3</t>
  </si>
  <si>
    <t>т. Результаты МЭК стр 1 гр.4</t>
  </si>
  <si>
    <t>т.Результаты МЭК стр 1 гр.5</t>
  </si>
  <si>
    <t>т.Результаты МЭК стр 1 гр.6</t>
  </si>
  <si>
    <t>т.Результаты МЭК стр 1 гр.8</t>
  </si>
  <si>
    <t>т.7.с.6.23.гр.3+10</t>
  </si>
  <si>
    <t>т.7.с.6.15.гр.3</t>
  </si>
  <si>
    <t>т.7.с.6.14.гр.3+10</t>
  </si>
  <si>
    <t>т.7.с.6.9.10.гр.3+10</t>
  </si>
  <si>
    <t>т.7.с.6.9.9.гр.3+10</t>
  </si>
  <si>
    <t>т.7.с.6.9.8.гр.3+10</t>
  </si>
  <si>
    <t>т.7.с.6.9.7.гр.3+10</t>
  </si>
  <si>
    <t>т.7.с.6.9.6.гр.3+10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</si>
</sst>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9" x14ac:knownFonts="1">
    <font>
      <sz val="11"/>
      <color theme="1"/>
      <name val="Calibri"/>
      <family val="2"/>
      <charset val="204"/>
      <scheme val="minor"/>
    </font>
    <font>
      <sz val="9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0"/>
      <name val="Arial"/>
      <family val="2"/>
      <charset val="204"/>
    </font>
    <font>
      <sz val="9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8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4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wrapText="1"/>
    </xf>
    <xf numFmtId="0" fontId="5" fillId="0" borderId="1" xfId="1" applyFont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1" fillId="0" borderId="0" xfId="0" applyFont="1"/>
    <xf numFmtId="0" fontId="5" fillId="3" borderId="1" xfId="1" applyFont="1" applyFill="1" applyBorder="1" applyAlignment="1">
      <alignment horizontal="center" vertical="center" wrapText="1"/>
    </xf>
    <xf numFmtId="0" fontId="1" fillId="3" borderId="0" xfId="0" applyFont="1" applyFill="1"/>
    <xf numFmtId="49" fontId="5" fillId="3" borderId="1" xfId="1" applyNumberFormat="1" applyFont="1" applyFill="1" applyBorder="1" applyAlignment="1">
      <alignment horizontal="center" vertical="center" wrapText="1"/>
    </xf>
    <xf numFmtId="0" fontId="0" fillId="0" borderId="5" xfId="0" applyBorder="1"/>
    <xf numFmtId="0" fontId="7" fillId="0" borderId="1" xfId="0" applyFont="1" applyBorder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4" fontId="0" fillId="0" borderId="1" xfId="0" applyNumberFormat="1" applyBorder="1"/>
    <xf numFmtId="4" fontId="0" fillId="0" borderId="0" xfId="0" applyNumberFormat="1"/>
    <xf numFmtId="0" fontId="1" fillId="0" borderId="1" xfId="0" applyFont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2" fontId="1" fillId="2" borderId="2" xfId="0" applyNumberFormat="1" applyFont="1" applyFill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2" fontId="0" fillId="0" borderId="5" xfId="0" applyNumberFormat="1" applyBorder="1"/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1" xfId="0" applyFont="1" applyBorder="1" applyAlignment="1">
      <alignment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1" fillId="0" borderId="27" xfId="0" applyFont="1" applyBorder="1" applyAlignment="1">
      <alignment vertical="center" wrapText="1"/>
    </xf>
    <xf numFmtId="0" fontId="1" fillId="0" borderId="32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34" xfId="0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vertical="center" wrapText="1"/>
    </xf>
    <xf numFmtId="0" fontId="1" fillId="0" borderId="36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/>
    </xf>
    <xf numFmtId="2" fontId="1" fillId="3" borderId="2" xfId="0" applyNumberFormat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vertical="center" wrapText="1"/>
    </xf>
    <xf numFmtId="0" fontId="1" fillId="6" borderId="3" xfId="0" applyFont="1" applyFill="1" applyBorder="1" applyAlignment="1">
      <alignment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 wrapText="1"/>
    </xf>
    <xf numFmtId="0" fontId="5" fillId="0" borderId="25" xfId="1" applyFont="1" applyBorder="1" applyAlignment="1">
      <alignment horizontal="center" vertical="center" wrapText="1"/>
    </xf>
    <xf numFmtId="0" fontId="5" fillId="0" borderId="45" xfId="1" applyFont="1" applyBorder="1" applyAlignment="1">
      <alignment horizontal="center" vertical="center" wrapText="1"/>
    </xf>
    <xf numFmtId="0" fontId="5" fillId="0" borderId="46" xfId="1" applyFont="1" applyBorder="1" applyAlignment="1">
      <alignment horizontal="center" vertical="center" wrapText="1"/>
    </xf>
    <xf numFmtId="0" fontId="5" fillId="3" borderId="20" xfId="1" applyFont="1" applyFill="1" applyBorder="1" applyAlignment="1">
      <alignment horizontal="center" vertical="center" wrapText="1"/>
    </xf>
    <xf numFmtId="0" fontId="5" fillId="3" borderId="32" xfId="1" applyFont="1" applyFill="1" applyBorder="1" applyAlignment="1">
      <alignment horizontal="center" vertical="center" wrapText="1"/>
    </xf>
    <xf numFmtId="0" fontId="5" fillId="0" borderId="43" xfId="1" applyFont="1" applyBorder="1" applyAlignment="1">
      <alignment horizontal="center" vertical="center" wrapText="1"/>
    </xf>
    <xf numFmtId="0" fontId="5" fillId="0" borderId="35" xfId="1" applyFont="1" applyBorder="1" applyAlignment="1">
      <alignment horizontal="center" vertical="center" wrapText="1"/>
    </xf>
    <xf numFmtId="0" fontId="5" fillId="0" borderId="44" xfId="1" applyFont="1" applyBorder="1" applyAlignment="1">
      <alignment horizontal="center" vertical="center" wrapText="1"/>
    </xf>
    <xf numFmtId="0" fontId="5" fillId="0" borderId="20" xfId="1" applyFont="1" applyBorder="1" applyAlignment="1">
      <alignment horizontal="center" vertical="center" wrapText="1"/>
    </xf>
    <xf numFmtId="0" fontId="5" fillId="0" borderId="32" xfId="1" applyFont="1" applyBorder="1" applyAlignment="1">
      <alignment horizontal="center" vertical="center" wrapText="1"/>
    </xf>
    <xf numFmtId="2" fontId="5" fillId="2" borderId="29" xfId="1" applyNumberFormat="1" applyFont="1" applyFill="1" applyBorder="1" applyAlignment="1">
      <alignment horizontal="center" vertical="center" wrapText="1"/>
    </xf>
    <xf numFmtId="2" fontId="5" fillId="2" borderId="26" xfId="1" applyNumberFormat="1" applyFont="1" applyFill="1" applyBorder="1" applyAlignment="1">
      <alignment horizontal="center" vertical="center" wrapText="1"/>
    </xf>
    <xf numFmtId="2" fontId="5" fillId="2" borderId="21" xfId="1" applyNumberFormat="1" applyFont="1" applyFill="1" applyBorder="1" applyAlignment="1">
      <alignment horizontal="center" vertical="center" wrapText="1"/>
    </xf>
    <xf numFmtId="2" fontId="5" fillId="2" borderId="34" xfId="1" applyNumberFormat="1" applyFont="1" applyFill="1" applyBorder="1" applyAlignment="1">
      <alignment horizontal="center" vertical="center" wrapText="1"/>
    </xf>
    <xf numFmtId="0" fontId="5" fillId="3" borderId="43" xfId="1" applyFont="1" applyFill="1" applyBorder="1" applyAlignment="1">
      <alignment horizontal="center" vertical="center" wrapText="1"/>
    </xf>
    <xf numFmtId="0" fontId="5" fillId="3" borderId="35" xfId="1" applyFont="1" applyFill="1" applyBorder="1" applyAlignment="1">
      <alignment horizontal="center" vertical="center" wrapText="1"/>
    </xf>
    <xf numFmtId="0" fontId="5" fillId="3" borderId="44" xfId="1" applyFont="1" applyFill="1" applyBorder="1" applyAlignment="1">
      <alignment horizontal="center" vertical="center" wrapText="1"/>
    </xf>
    <xf numFmtId="0" fontId="5" fillId="3" borderId="19" xfId="1" applyFont="1" applyFill="1" applyBorder="1" applyAlignment="1">
      <alignment horizontal="center" vertical="center" wrapText="1"/>
    </xf>
    <xf numFmtId="0" fontId="5" fillId="3" borderId="25" xfId="1" applyFont="1" applyFill="1" applyBorder="1" applyAlignment="1">
      <alignment horizontal="center" vertical="center" wrapText="1"/>
    </xf>
    <xf numFmtId="0" fontId="5" fillId="0" borderId="30" xfId="1" applyFont="1" applyBorder="1" applyAlignment="1">
      <alignment horizontal="center" vertical="center" wrapText="1"/>
    </xf>
    <xf numFmtId="0" fontId="5" fillId="0" borderId="17" xfId="1" applyFont="1" applyBorder="1" applyAlignment="1">
      <alignment horizontal="center" vertical="center" wrapText="1"/>
    </xf>
    <xf numFmtId="0" fontId="5" fillId="0" borderId="18" xfId="1" applyFont="1" applyBorder="1" applyAlignment="1">
      <alignment horizontal="center" vertical="center" wrapText="1"/>
    </xf>
    <xf numFmtId="0" fontId="5" fillId="0" borderId="47" xfId="1" applyFont="1" applyBorder="1" applyAlignment="1">
      <alignment horizontal="center" vertical="center" wrapText="1"/>
    </xf>
    <xf numFmtId="0" fontId="5" fillId="0" borderId="16" xfId="1" applyFont="1" applyBorder="1" applyAlignment="1">
      <alignment horizontal="center" vertical="center" wrapText="1"/>
    </xf>
    <xf numFmtId="0" fontId="5" fillId="0" borderId="14" xfId="1" applyFont="1" applyBorder="1" applyAlignment="1">
      <alignment horizontal="center" vertical="center" wrapText="1"/>
    </xf>
    <xf numFmtId="0" fontId="5" fillId="0" borderId="39" xfId="1" applyFont="1" applyBorder="1" applyAlignment="1">
      <alignment horizontal="center" vertical="center" wrapText="1"/>
    </xf>
    <xf numFmtId="0" fontId="5" fillId="0" borderId="40" xfId="1" applyFont="1" applyBorder="1" applyAlignment="1">
      <alignment horizontal="center" vertical="center" wrapText="1"/>
    </xf>
    <xf numFmtId="0" fontId="5" fillId="0" borderId="41" xfId="1" applyFont="1" applyBorder="1" applyAlignment="1">
      <alignment horizontal="center" vertical="center" wrapText="1"/>
    </xf>
    <xf numFmtId="0" fontId="5" fillId="0" borderId="37" xfId="1" applyFont="1" applyBorder="1" applyAlignment="1">
      <alignment horizontal="center" vertical="center" wrapText="1"/>
    </xf>
    <xf numFmtId="0" fontId="5" fillId="0" borderId="42" xfId="1" applyFont="1" applyBorder="1" applyAlignment="1">
      <alignment horizontal="center" vertical="center" wrapText="1"/>
    </xf>
    <xf numFmtId="0" fontId="5" fillId="0" borderId="28" xfId="1" applyFont="1" applyBorder="1" applyAlignment="1">
      <alignment horizontal="center" vertical="center" wrapText="1"/>
    </xf>
    <xf numFmtId="0" fontId="5" fillId="0" borderId="27" xfId="1" applyFont="1" applyBorder="1" applyAlignment="1">
      <alignment horizontal="center" vertical="center" wrapText="1"/>
    </xf>
    <xf numFmtId="49" fontId="5" fillId="0" borderId="20" xfId="1" applyNumberFormat="1" applyFont="1" applyBorder="1" applyAlignment="1">
      <alignment horizontal="center" vertical="center" wrapText="1"/>
    </xf>
    <xf numFmtId="49" fontId="5" fillId="0" borderId="32" xfId="1" applyNumberFormat="1" applyFont="1" applyBorder="1" applyAlignment="1">
      <alignment horizontal="center" vertical="center" wrapText="1"/>
    </xf>
    <xf numFmtId="0" fontId="5" fillId="0" borderId="36" xfId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</cellXfs>
  <cellStyles count="2">
    <cellStyle name="Обычный" xfId="0" builtinId="0"/>
    <cellStyle name="Обычный_Norma" xfId="1" xr:uid="{00000000-0005-0000-0000-000001000000}"/>
  </cellStyles>
  <dxfs count="8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8"/>
  <sheetViews>
    <sheetView topLeftCell="AP1" zoomScaleNormal="100" workbookViewId="0">
      <pane ySplit="5" topLeftCell="A6" activePane="bottomLeft" state="frozen"/>
      <selection activeCell="AR1" sqref="AR1"/>
      <selection pane="bottomLeft" activeCell="AP5" sqref="AP5"/>
    </sheetView>
  </sheetViews>
  <sheetFormatPr defaultRowHeight="15" x14ac:dyDescent="0.25"/>
  <cols>
    <col min="1" max="1" width="18.42578125" bestFit="1" customWidth="1"/>
    <col min="2" max="2" width="10.140625" bestFit="1" customWidth="1"/>
    <col min="3" max="4" width="10.140625" customWidth="1"/>
    <col min="5" max="5" width="11.28515625" bestFit="1" customWidth="1"/>
    <col min="6" max="7" width="11.28515625" customWidth="1"/>
    <col min="8" max="8" width="12.5703125" customWidth="1"/>
    <col min="9" max="9" width="11.7109375" bestFit="1" customWidth="1"/>
    <col min="10" max="10" width="12.140625" bestFit="1" customWidth="1"/>
    <col min="11" max="12" width="13.42578125" bestFit="1" customWidth="1"/>
    <col min="13" max="15" width="11" customWidth="1"/>
    <col min="16" max="16" width="11.140625" bestFit="1" customWidth="1"/>
    <col min="17" max="18" width="11.140625" customWidth="1"/>
    <col min="19" max="19" width="11.140625" bestFit="1" customWidth="1"/>
    <col min="20" max="20" width="15" bestFit="1" customWidth="1"/>
    <col min="21" max="21" width="16" bestFit="1" customWidth="1"/>
    <col min="22" max="22" width="14.5703125" bestFit="1" customWidth="1"/>
    <col min="23" max="23" width="16.140625" bestFit="1" customWidth="1"/>
    <col min="24" max="24" width="11.85546875" bestFit="1" customWidth="1"/>
    <col min="25" max="25" width="14.85546875" bestFit="1" customWidth="1"/>
    <col min="26" max="26" width="12" bestFit="1" customWidth="1"/>
    <col min="27" max="27" width="14.42578125" bestFit="1" customWidth="1"/>
    <col min="28" max="28" width="19.140625" bestFit="1" customWidth="1"/>
    <col min="29" max="29" width="14" bestFit="1" customWidth="1"/>
    <col min="30" max="30" width="13.42578125" bestFit="1" customWidth="1"/>
    <col min="31" max="31" width="11.28515625" bestFit="1" customWidth="1"/>
    <col min="32" max="32" width="19.140625" bestFit="1" customWidth="1"/>
    <col min="33" max="33" width="11.28515625" bestFit="1" customWidth="1"/>
    <col min="34" max="35" width="11.28515625" customWidth="1"/>
    <col min="36" max="36" width="12.28515625" bestFit="1" customWidth="1"/>
    <col min="37" max="37" width="12.42578125" bestFit="1" customWidth="1"/>
    <col min="38" max="38" width="17.85546875" bestFit="1" customWidth="1"/>
    <col min="39" max="39" width="13.42578125" bestFit="1" customWidth="1"/>
    <col min="40" max="40" width="9.7109375" bestFit="1" customWidth="1"/>
    <col min="41" max="42" width="9.7109375" customWidth="1"/>
    <col min="43" max="43" width="12.140625" bestFit="1" customWidth="1"/>
    <col min="44" max="44" width="13.42578125" bestFit="1" customWidth="1"/>
    <col min="45" max="46" width="13.42578125" customWidth="1"/>
    <col min="47" max="47" width="13.42578125" bestFit="1" customWidth="1"/>
    <col min="48" max="49" width="13.42578125" customWidth="1"/>
    <col min="50" max="50" width="11.140625" bestFit="1" customWidth="1"/>
    <col min="51" max="52" width="11.140625" customWidth="1"/>
    <col min="53" max="53" width="11.140625" bestFit="1" customWidth="1"/>
    <col min="54" max="54" width="12.42578125" bestFit="1" customWidth="1"/>
    <col min="55" max="59" width="13.5703125" bestFit="1" customWidth="1"/>
    <col min="60" max="60" width="18.42578125" bestFit="1" customWidth="1"/>
    <col min="61" max="61" width="19.85546875" bestFit="1" customWidth="1"/>
    <col min="62" max="62" width="13.5703125" bestFit="1" customWidth="1"/>
    <col min="63" max="63" width="13.28515625" bestFit="1" customWidth="1"/>
    <col min="64" max="64" width="17.42578125" bestFit="1" customWidth="1"/>
    <col min="65" max="65" width="19.7109375" bestFit="1" customWidth="1"/>
    <col min="66" max="69" width="13.140625" bestFit="1" customWidth="1"/>
    <col min="70" max="70" width="19.7109375" bestFit="1" customWidth="1"/>
    <col min="71" max="71" width="26.7109375" bestFit="1" customWidth="1"/>
    <col min="72" max="72" width="16.85546875" bestFit="1" customWidth="1"/>
    <col min="73" max="73" width="26.7109375" bestFit="1" customWidth="1"/>
  </cols>
  <sheetData>
    <row r="1" spans="1:73" ht="21" customHeight="1" x14ac:dyDescent="0.25">
      <c r="A1" s="74" t="s">
        <v>2</v>
      </c>
      <c r="B1" s="77" t="s">
        <v>0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81"/>
      <c r="AG1" s="77" t="s">
        <v>1</v>
      </c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8"/>
      <c r="BF1" s="78"/>
      <c r="BG1" s="78"/>
      <c r="BH1" s="78"/>
      <c r="BI1" s="78"/>
      <c r="BJ1" s="78"/>
      <c r="BK1" s="78"/>
      <c r="BL1" s="78"/>
      <c r="BM1" s="78"/>
      <c r="BN1" s="78"/>
      <c r="BO1" s="78"/>
      <c r="BP1" s="78"/>
      <c r="BQ1" s="78"/>
      <c r="BR1" s="78"/>
      <c r="BS1" s="78"/>
      <c r="BT1" s="78"/>
      <c r="BU1" s="78"/>
    </row>
    <row r="2" spans="1:73" ht="33" customHeight="1" x14ac:dyDescent="0.25">
      <c r="A2" s="75"/>
      <c r="B2" s="79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2"/>
      <c r="AG2" s="79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0"/>
      <c r="BC2" s="80"/>
      <c r="BD2" s="80"/>
      <c r="BE2" s="80"/>
      <c r="BF2" s="80"/>
      <c r="BG2" s="80"/>
      <c r="BH2" s="80"/>
      <c r="BI2" s="80"/>
      <c r="BJ2" s="80"/>
      <c r="BK2" s="80"/>
      <c r="BL2" s="80"/>
      <c r="BM2" s="80"/>
      <c r="BN2" s="80"/>
      <c r="BO2" s="80"/>
      <c r="BP2" s="80"/>
      <c r="BQ2" s="80"/>
      <c r="BR2" s="80"/>
      <c r="BS2" s="80"/>
      <c r="BT2" s="80"/>
      <c r="BU2" s="80"/>
    </row>
    <row r="3" spans="1:73" ht="173.25" customHeight="1" x14ac:dyDescent="0.25">
      <c r="A3" s="76"/>
      <c r="B3" s="72" t="s">
        <v>13</v>
      </c>
      <c r="C3" s="83" t="s">
        <v>3</v>
      </c>
      <c r="D3" s="84"/>
      <c r="E3" s="85"/>
      <c r="F3" s="83" t="s">
        <v>14</v>
      </c>
      <c r="G3" s="84"/>
      <c r="H3" s="85"/>
      <c r="I3" s="72" t="s">
        <v>15</v>
      </c>
      <c r="J3" s="72" t="s">
        <v>16</v>
      </c>
      <c r="K3" s="73" t="s">
        <v>63</v>
      </c>
      <c r="L3" s="73" t="s">
        <v>64</v>
      </c>
      <c r="M3" s="73" t="s">
        <v>65</v>
      </c>
      <c r="N3" s="83" t="s">
        <v>66</v>
      </c>
      <c r="O3" s="84"/>
      <c r="P3" s="85"/>
      <c r="Q3" s="83" t="s">
        <v>5</v>
      </c>
      <c r="R3" s="84"/>
      <c r="S3" s="85"/>
      <c r="T3" s="73" t="s">
        <v>69</v>
      </c>
      <c r="U3" s="73" t="s">
        <v>70</v>
      </c>
      <c r="V3" s="73" t="s">
        <v>71</v>
      </c>
      <c r="W3" s="73" t="s">
        <v>72</v>
      </c>
      <c r="X3" s="73" t="s">
        <v>67</v>
      </c>
      <c r="Y3" s="73" t="s">
        <v>73</v>
      </c>
      <c r="Z3" s="73" t="s">
        <v>74</v>
      </c>
      <c r="AA3" s="73" t="s">
        <v>75</v>
      </c>
      <c r="AB3" s="73" t="s">
        <v>76</v>
      </c>
      <c r="AC3" s="73" t="s">
        <v>77</v>
      </c>
      <c r="AD3" s="73" t="s">
        <v>78</v>
      </c>
      <c r="AE3" s="73" t="s">
        <v>68</v>
      </c>
      <c r="AF3" s="73" t="s">
        <v>79</v>
      </c>
      <c r="AG3" s="86" t="s">
        <v>4</v>
      </c>
      <c r="AH3" s="87"/>
      <c r="AI3" s="88"/>
      <c r="AJ3" s="70" t="s">
        <v>80</v>
      </c>
      <c r="AK3" s="70" t="s">
        <v>81</v>
      </c>
      <c r="AL3" s="71" t="s">
        <v>82</v>
      </c>
      <c r="AM3" s="71" t="s">
        <v>83</v>
      </c>
      <c r="AN3" s="71" t="s">
        <v>84</v>
      </c>
      <c r="AO3" s="86" t="s">
        <v>85</v>
      </c>
      <c r="AP3" s="87"/>
      <c r="AQ3" s="88"/>
      <c r="AR3" s="71" t="s">
        <v>86</v>
      </c>
      <c r="AS3" s="86" t="s">
        <v>87</v>
      </c>
      <c r="AT3" s="87"/>
      <c r="AU3" s="88"/>
      <c r="AV3" s="86" t="s">
        <v>88</v>
      </c>
      <c r="AW3" s="87"/>
      <c r="AX3" s="88"/>
      <c r="AY3" s="86" t="s">
        <v>89</v>
      </c>
      <c r="AZ3" s="87"/>
      <c r="BA3" s="88"/>
      <c r="BB3" s="71" t="s">
        <v>90</v>
      </c>
      <c r="BC3" s="71" t="s">
        <v>91</v>
      </c>
      <c r="BD3" s="71" t="s">
        <v>92</v>
      </c>
      <c r="BE3" s="71" t="s">
        <v>93</v>
      </c>
      <c r="BF3" s="71" t="s">
        <v>94</v>
      </c>
      <c r="BG3" s="71" t="s">
        <v>95</v>
      </c>
      <c r="BH3" s="71" t="s">
        <v>96</v>
      </c>
      <c r="BI3" s="71" t="s">
        <v>97</v>
      </c>
      <c r="BJ3" s="71" t="s">
        <v>98</v>
      </c>
      <c r="BK3" s="71" t="s">
        <v>99</v>
      </c>
      <c r="BL3" s="71" t="s">
        <v>100</v>
      </c>
      <c r="BM3" s="71" t="s">
        <v>101</v>
      </c>
      <c r="BN3" s="71" t="s">
        <v>102</v>
      </c>
      <c r="BO3" s="71" t="s">
        <v>103</v>
      </c>
      <c r="BP3" s="71" t="s">
        <v>104</v>
      </c>
      <c r="BQ3" s="71" t="s">
        <v>105</v>
      </c>
      <c r="BR3" s="71" t="s">
        <v>106</v>
      </c>
      <c r="BS3" s="71" t="s">
        <v>107</v>
      </c>
      <c r="BT3" s="71" t="s">
        <v>108</v>
      </c>
      <c r="BU3" s="71" t="s">
        <v>107</v>
      </c>
    </row>
    <row r="4" spans="1:73" s="5" customFormat="1" ht="15.6" customHeight="1" x14ac:dyDescent="0.2">
      <c r="A4" s="4"/>
      <c r="B4" s="4" t="s">
        <v>17</v>
      </c>
      <c r="C4" s="4" t="s">
        <v>179</v>
      </c>
      <c r="D4" s="4" t="s">
        <v>178</v>
      </c>
      <c r="E4" s="4" t="s">
        <v>18</v>
      </c>
      <c r="F4" s="4" t="s">
        <v>180</v>
      </c>
      <c r="G4" s="4" t="s">
        <v>181</v>
      </c>
      <c r="H4" s="4" t="s">
        <v>19</v>
      </c>
      <c r="I4" s="4" t="s">
        <v>20</v>
      </c>
      <c r="J4" s="4" t="s">
        <v>21</v>
      </c>
      <c r="K4" s="4" t="s">
        <v>22</v>
      </c>
      <c r="L4" s="4" t="s">
        <v>23</v>
      </c>
      <c r="M4" s="4" t="s">
        <v>24</v>
      </c>
      <c r="N4" s="4" t="s">
        <v>182</v>
      </c>
      <c r="O4" s="4" t="s">
        <v>183</v>
      </c>
      <c r="P4" s="4" t="s">
        <v>25</v>
      </c>
      <c r="Q4" s="4" t="s">
        <v>185</v>
      </c>
      <c r="R4" s="4" t="s">
        <v>184</v>
      </c>
      <c r="S4" s="4" t="s">
        <v>26</v>
      </c>
      <c r="T4" s="4" t="s">
        <v>27</v>
      </c>
      <c r="U4" s="4" t="s">
        <v>28</v>
      </c>
      <c r="V4" s="4" t="s">
        <v>29</v>
      </c>
      <c r="W4" s="4" t="s">
        <v>30</v>
      </c>
      <c r="X4" s="4" t="s">
        <v>31</v>
      </c>
      <c r="Y4" s="4" t="s">
        <v>32</v>
      </c>
      <c r="Z4" s="4" t="s">
        <v>33</v>
      </c>
      <c r="AA4" s="4" t="s">
        <v>34</v>
      </c>
      <c r="AB4" s="4" t="s">
        <v>35</v>
      </c>
      <c r="AC4" s="4" t="s">
        <v>36</v>
      </c>
      <c r="AD4" s="4" t="s">
        <v>37</v>
      </c>
      <c r="AE4" s="4" t="s">
        <v>38</v>
      </c>
      <c r="AF4" s="4" t="s">
        <v>39</v>
      </c>
      <c r="AG4" s="4" t="s">
        <v>187</v>
      </c>
      <c r="AH4" s="4" t="s">
        <v>186</v>
      </c>
      <c r="AI4" s="4" t="s">
        <v>40</v>
      </c>
      <c r="AJ4" s="4" t="s">
        <v>41</v>
      </c>
      <c r="AK4" s="4" t="s">
        <v>42</v>
      </c>
      <c r="AL4" s="4" t="s">
        <v>43</v>
      </c>
      <c r="AM4" s="4" t="s">
        <v>44</v>
      </c>
      <c r="AN4" s="4" t="s">
        <v>45</v>
      </c>
      <c r="AO4" s="4" t="s">
        <v>188</v>
      </c>
      <c r="AP4" s="4" t="s">
        <v>189</v>
      </c>
      <c r="AQ4" s="4" t="s">
        <v>46</v>
      </c>
      <c r="AR4" s="4" t="s">
        <v>47</v>
      </c>
      <c r="AS4" s="4" t="s">
        <v>190</v>
      </c>
      <c r="AT4" s="4" t="s">
        <v>191</v>
      </c>
      <c r="AU4" s="4" t="s">
        <v>48</v>
      </c>
      <c r="AV4" s="4" t="s">
        <v>194</v>
      </c>
      <c r="AW4" s="4" t="s">
        <v>195</v>
      </c>
      <c r="AX4" s="4" t="s">
        <v>49</v>
      </c>
      <c r="AY4" s="4" t="s">
        <v>192</v>
      </c>
      <c r="AZ4" s="4" t="s">
        <v>193</v>
      </c>
      <c r="BA4" s="4" t="s">
        <v>50</v>
      </c>
      <c r="BB4" s="4" t="s">
        <v>51</v>
      </c>
      <c r="BC4" s="4" t="s">
        <v>212</v>
      </c>
      <c r="BD4" s="4" t="s">
        <v>211</v>
      </c>
      <c r="BE4" s="4" t="s">
        <v>210</v>
      </c>
      <c r="BF4" s="4" t="s">
        <v>209</v>
      </c>
      <c r="BG4" s="4" t="s">
        <v>208</v>
      </c>
      <c r="BH4" s="4" t="s">
        <v>52</v>
      </c>
      <c r="BI4" s="4" t="s">
        <v>53</v>
      </c>
      <c r="BJ4" s="4" t="s">
        <v>54</v>
      </c>
      <c r="BK4" s="4" t="s">
        <v>55</v>
      </c>
      <c r="BL4" s="4" t="s">
        <v>207</v>
      </c>
      <c r="BM4" s="4" t="s">
        <v>206</v>
      </c>
      <c r="BN4" s="4" t="s">
        <v>56</v>
      </c>
      <c r="BO4" s="4" t="s">
        <v>57</v>
      </c>
      <c r="BP4" s="4" t="s">
        <v>58</v>
      </c>
      <c r="BQ4" s="4" t="s">
        <v>59</v>
      </c>
      <c r="BR4" s="4" t="s">
        <v>60</v>
      </c>
      <c r="BS4" s="4" t="s">
        <v>61</v>
      </c>
      <c r="BT4" s="4" t="s">
        <v>62</v>
      </c>
      <c r="BU4" s="4" t="s">
        <v>205</v>
      </c>
    </row>
    <row r="5" spans="1:73" s="3" customFormat="1" x14ac:dyDescent="0.25">
      <c r="A5" s="2">
        <v>1</v>
      </c>
      <c r="B5" s="2">
        <v>2</v>
      </c>
      <c r="C5" s="2">
        <v>3</v>
      </c>
      <c r="D5" s="2">
        <v>4</v>
      </c>
      <c r="E5" s="2">
        <v>5</v>
      </c>
      <c r="F5" s="2">
        <v>6</v>
      </c>
      <c r="G5" s="2">
        <v>7</v>
      </c>
      <c r="H5" s="2">
        <v>8</v>
      </c>
      <c r="I5" s="2">
        <v>9</v>
      </c>
      <c r="J5" s="2">
        <v>10</v>
      </c>
      <c r="K5" s="2">
        <v>11</v>
      </c>
      <c r="L5" s="2">
        <v>12</v>
      </c>
      <c r="M5" s="2">
        <v>13</v>
      </c>
      <c r="N5" s="2">
        <v>14</v>
      </c>
      <c r="O5" s="2">
        <v>15</v>
      </c>
      <c r="P5" s="2">
        <v>16</v>
      </c>
      <c r="Q5" s="2">
        <v>17</v>
      </c>
      <c r="R5" s="2">
        <v>18</v>
      </c>
      <c r="S5" s="2">
        <v>19</v>
      </c>
      <c r="T5" s="2">
        <v>20</v>
      </c>
      <c r="U5" s="2">
        <v>21</v>
      </c>
      <c r="V5" s="2">
        <v>22</v>
      </c>
      <c r="W5" s="2">
        <v>23</v>
      </c>
      <c r="X5" s="2">
        <v>24</v>
      </c>
      <c r="Y5" s="2">
        <v>25</v>
      </c>
      <c r="Z5" s="2">
        <v>26</v>
      </c>
      <c r="AA5" s="2">
        <v>27</v>
      </c>
      <c r="AB5" s="2">
        <v>28</v>
      </c>
      <c r="AC5" s="2">
        <v>29</v>
      </c>
      <c r="AD5" s="2">
        <v>30</v>
      </c>
      <c r="AE5" s="2">
        <v>31</v>
      </c>
      <c r="AF5" s="2">
        <v>32</v>
      </c>
      <c r="AG5" s="2">
        <v>33</v>
      </c>
      <c r="AH5" s="2">
        <v>34</v>
      </c>
      <c r="AI5" s="2">
        <v>35</v>
      </c>
      <c r="AJ5" s="2">
        <v>36</v>
      </c>
      <c r="AK5" s="2">
        <v>37</v>
      </c>
      <c r="AL5" s="2">
        <v>38</v>
      </c>
      <c r="AM5" s="2">
        <v>39</v>
      </c>
      <c r="AN5" s="2">
        <v>40</v>
      </c>
      <c r="AO5" s="2">
        <v>41</v>
      </c>
      <c r="AP5" s="2">
        <v>42</v>
      </c>
      <c r="AQ5" s="2">
        <v>43</v>
      </c>
      <c r="AR5" s="2">
        <v>44</v>
      </c>
      <c r="AS5" s="2">
        <v>45</v>
      </c>
      <c r="AT5" s="2">
        <v>46</v>
      </c>
      <c r="AU5" s="2">
        <v>47</v>
      </c>
      <c r="AV5" s="2">
        <v>48</v>
      </c>
      <c r="AW5" s="2">
        <v>49</v>
      </c>
      <c r="AX5" s="2">
        <v>50</v>
      </c>
      <c r="AY5" s="2">
        <v>51</v>
      </c>
      <c r="AZ5" s="2">
        <v>52</v>
      </c>
      <c r="BA5" s="2">
        <v>53</v>
      </c>
      <c r="BB5" s="2">
        <v>54</v>
      </c>
      <c r="BC5" s="2">
        <v>55</v>
      </c>
      <c r="BD5" s="2">
        <v>56</v>
      </c>
      <c r="BE5" s="2">
        <v>57</v>
      </c>
      <c r="BF5" s="2">
        <v>58</v>
      </c>
      <c r="BG5" s="2">
        <v>59</v>
      </c>
      <c r="BH5" s="2">
        <v>60</v>
      </c>
      <c r="BI5" s="2">
        <v>61</v>
      </c>
      <c r="BJ5" s="2">
        <v>62</v>
      </c>
      <c r="BK5" s="2">
        <v>63</v>
      </c>
      <c r="BL5" s="2">
        <v>64</v>
      </c>
      <c r="BM5" s="2">
        <v>65</v>
      </c>
      <c r="BN5" s="2">
        <v>66</v>
      </c>
      <c r="BO5" s="2">
        <v>67</v>
      </c>
      <c r="BP5" s="2">
        <v>68</v>
      </c>
      <c r="BQ5" s="2">
        <v>69</v>
      </c>
      <c r="BR5" s="2">
        <v>70</v>
      </c>
      <c r="BS5" s="2">
        <v>71</v>
      </c>
      <c r="BT5" s="2">
        <v>72</v>
      </c>
      <c r="BU5" s="2">
        <v>73</v>
      </c>
    </row>
    <row r="6" spans="1:73" x14ac:dyDescent="0.25">
      <c r="A6" s="6"/>
      <c r="B6" s="1"/>
      <c r="C6" s="1"/>
      <c r="D6" s="1"/>
      <c r="E6" s="1">
        <f>C6+D6</f>
        <v>0</v>
      </c>
      <c r="F6" s="1"/>
      <c r="G6" s="1"/>
      <c r="H6" s="1">
        <f>F6+G6</f>
        <v>0</v>
      </c>
      <c r="I6" s="1"/>
      <c r="J6" s="1"/>
      <c r="K6" s="1"/>
      <c r="L6" s="1"/>
      <c r="M6" s="1"/>
      <c r="N6" s="1"/>
      <c r="O6" s="1"/>
      <c r="P6" s="1">
        <f>N6+O6</f>
        <v>0</v>
      </c>
      <c r="Q6" s="1"/>
      <c r="R6" s="1"/>
      <c r="S6" s="1">
        <f>Q6+R6</f>
        <v>0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>
        <f>AG6+AH6</f>
        <v>0</v>
      </c>
      <c r="AJ6" s="1"/>
      <c r="AK6" s="1"/>
      <c r="AL6" s="1"/>
      <c r="AM6" s="1"/>
      <c r="AN6" s="1"/>
      <c r="AO6" s="1"/>
      <c r="AP6" s="1"/>
      <c r="AQ6" s="1">
        <f>AO6+AP6</f>
        <v>0</v>
      </c>
      <c r="AR6" s="1"/>
      <c r="AS6" s="1"/>
      <c r="AT6" s="1"/>
      <c r="AU6" s="1">
        <f>AS6+AT6</f>
        <v>0</v>
      </c>
      <c r="AV6" s="1"/>
      <c r="AW6" s="1"/>
      <c r="AX6" s="1">
        <f>AV6+AW6</f>
        <v>0</v>
      </c>
      <c r="AY6" s="1"/>
      <c r="AZ6" s="1"/>
      <c r="BA6" s="1">
        <f>AY6+AZ6</f>
        <v>0</v>
      </c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</row>
    <row r="7" spans="1:73" x14ac:dyDescent="0.25">
      <c r="A7" s="6"/>
      <c r="B7" s="1"/>
      <c r="C7" s="1"/>
      <c r="D7" s="1"/>
      <c r="E7" s="1">
        <f>C7+D7</f>
        <v>0</v>
      </c>
      <c r="F7" s="1"/>
      <c r="G7" s="1"/>
      <c r="H7" s="1">
        <f>F7+G7</f>
        <v>0</v>
      </c>
      <c r="I7" s="1"/>
      <c r="J7" s="1"/>
      <c r="K7" s="1"/>
      <c r="L7" s="1"/>
      <c r="M7" s="1"/>
      <c r="N7" s="1"/>
      <c r="O7" s="1"/>
      <c r="P7" s="1">
        <f>N7+O7</f>
        <v>0</v>
      </c>
      <c r="Q7" s="1"/>
      <c r="R7" s="1"/>
      <c r="S7" s="1">
        <f>Q7+R7</f>
        <v>0</v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>
        <f>AG7+AH7</f>
        <v>0</v>
      </c>
      <c r="AJ7" s="1"/>
      <c r="AK7" s="1"/>
      <c r="AL7" s="1"/>
      <c r="AM7" s="1"/>
      <c r="AN7" s="1"/>
      <c r="AO7" s="1"/>
      <c r="AP7" s="1"/>
      <c r="AQ7" s="1">
        <f>AO7+AP7</f>
        <v>0</v>
      </c>
      <c r="AR7" s="1"/>
      <c r="AS7" s="1"/>
      <c r="AT7" s="1"/>
      <c r="AU7" s="1">
        <f>AS7+AT7</f>
        <v>0</v>
      </c>
      <c r="AV7" s="1"/>
      <c r="AW7" s="1"/>
      <c r="AX7" s="1">
        <f>AV7+AW7</f>
        <v>0</v>
      </c>
      <c r="AY7" s="1"/>
      <c r="AZ7" s="1"/>
      <c r="BA7" s="1">
        <f>AY7+AZ7</f>
        <v>0</v>
      </c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</row>
    <row r="8" spans="1:73" x14ac:dyDescent="0.25">
      <c r="B8">
        <f>SUM(B6:B7)</f>
        <v>0</v>
      </c>
      <c r="C8">
        <f t="shared" ref="C8:BN8" si="0">SUM(C6:C7)</f>
        <v>0</v>
      </c>
      <c r="D8">
        <f t="shared" si="0"/>
        <v>0</v>
      </c>
      <c r="E8">
        <f t="shared" si="0"/>
        <v>0</v>
      </c>
      <c r="F8">
        <f t="shared" si="0"/>
        <v>0</v>
      </c>
      <c r="G8">
        <f t="shared" si="0"/>
        <v>0</v>
      </c>
      <c r="H8">
        <f t="shared" si="0"/>
        <v>0</v>
      </c>
      <c r="I8">
        <f t="shared" si="0"/>
        <v>0</v>
      </c>
      <c r="J8">
        <f t="shared" si="0"/>
        <v>0</v>
      </c>
      <c r="K8">
        <f t="shared" si="0"/>
        <v>0</v>
      </c>
      <c r="L8">
        <f t="shared" si="0"/>
        <v>0</v>
      </c>
      <c r="M8">
        <f t="shared" si="0"/>
        <v>0</v>
      </c>
      <c r="N8">
        <f t="shared" si="0"/>
        <v>0</v>
      </c>
      <c r="O8">
        <f t="shared" si="0"/>
        <v>0</v>
      </c>
      <c r="P8">
        <f t="shared" si="0"/>
        <v>0</v>
      </c>
      <c r="Q8">
        <f t="shared" si="0"/>
        <v>0</v>
      </c>
      <c r="R8">
        <f t="shared" si="0"/>
        <v>0</v>
      </c>
      <c r="S8">
        <f t="shared" si="0"/>
        <v>0</v>
      </c>
      <c r="T8">
        <f t="shared" si="0"/>
        <v>0</v>
      </c>
      <c r="U8">
        <f t="shared" si="0"/>
        <v>0</v>
      </c>
      <c r="V8">
        <f t="shared" si="0"/>
        <v>0</v>
      </c>
      <c r="W8">
        <f t="shared" si="0"/>
        <v>0</v>
      </c>
      <c r="X8">
        <f t="shared" si="0"/>
        <v>0</v>
      </c>
      <c r="Y8">
        <f t="shared" si="0"/>
        <v>0</v>
      </c>
      <c r="Z8">
        <f t="shared" si="0"/>
        <v>0</v>
      </c>
      <c r="AA8">
        <f t="shared" si="0"/>
        <v>0</v>
      </c>
      <c r="AB8">
        <f t="shared" si="0"/>
        <v>0</v>
      </c>
      <c r="AC8">
        <f t="shared" si="0"/>
        <v>0</v>
      </c>
      <c r="AD8">
        <f t="shared" si="0"/>
        <v>0</v>
      </c>
      <c r="AE8">
        <f t="shared" si="0"/>
        <v>0</v>
      </c>
      <c r="AF8">
        <f t="shared" si="0"/>
        <v>0</v>
      </c>
      <c r="AG8">
        <f t="shared" si="0"/>
        <v>0</v>
      </c>
      <c r="AH8">
        <f t="shared" si="0"/>
        <v>0</v>
      </c>
      <c r="AI8">
        <f t="shared" si="0"/>
        <v>0</v>
      </c>
      <c r="AJ8">
        <f t="shared" si="0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  <c r="BD8">
        <f t="shared" si="0"/>
        <v>0</v>
      </c>
      <c r="BE8">
        <f t="shared" si="0"/>
        <v>0</v>
      </c>
      <c r="BF8">
        <f t="shared" si="0"/>
        <v>0</v>
      </c>
      <c r="BG8">
        <f t="shared" si="0"/>
        <v>0</v>
      </c>
      <c r="BH8">
        <f t="shared" si="0"/>
        <v>0</v>
      </c>
      <c r="BI8">
        <f t="shared" si="0"/>
        <v>0</v>
      </c>
      <c r="BJ8">
        <f t="shared" si="0"/>
        <v>0</v>
      </c>
      <c r="BK8">
        <f t="shared" si="0"/>
        <v>0</v>
      </c>
      <c r="BL8">
        <f t="shared" si="0"/>
        <v>0</v>
      </c>
      <c r="BM8">
        <f t="shared" si="0"/>
        <v>0</v>
      </c>
      <c r="BN8">
        <f t="shared" si="0"/>
        <v>0</v>
      </c>
      <c r="BO8">
        <f t="shared" ref="BO8:BU8" si="1">SUM(BO6:BO7)</f>
        <v>0</v>
      </c>
      <c r="BP8">
        <f t="shared" si="1"/>
        <v>0</v>
      </c>
      <c r="BQ8">
        <f t="shared" si="1"/>
        <v>0</v>
      </c>
      <c r="BR8">
        <f t="shared" si="1"/>
        <v>0</v>
      </c>
      <c r="BS8">
        <f t="shared" si="1"/>
        <v>0</v>
      </c>
      <c r="BT8">
        <f t="shared" si="1"/>
        <v>0</v>
      </c>
      <c r="BU8">
        <f t="shared" si="1"/>
        <v>0</v>
      </c>
    </row>
  </sheetData>
  <mergeCells count="12">
    <mergeCell ref="A1:A3"/>
    <mergeCell ref="AG1:BU2"/>
    <mergeCell ref="B1:AF2"/>
    <mergeCell ref="C3:E3"/>
    <mergeCell ref="F3:H3"/>
    <mergeCell ref="N3:P3"/>
    <mergeCell ref="Q3:S3"/>
    <mergeCell ref="AG3:AI3"/>
    <mergeCell ref="AO3:AQ3"/>
    <mergeCell ref="AS3:AU3"/>
    <mergeCell ref="AY3:BA3"/>
    <mergeCell ref="AV3:AX3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8"/>
  <sheetViews>
    <sheetView zoomScale="85" zoomScaleNormal="85" workbookViewId="0">
      <selection activeCell="K11" sqref="K11"/>
    </sheetView>
  </sheetViews>
  <sheetFormatPr defaultRowHeight="15" x14ac:dyDescent="0.25"/>
  <cols>
    <col min="1" max="1" width="5.140625" bestFit="1" customWidth="1"/>
    <col min="2" max="2" width="29.28515625" customWidth="1"/>
    <col min="3" max="5" width="12.7109375" customWidth="1"/>
    <col min="6" max="6" width="12.7109375" style="3" customWidth="1"/>
    <col min="7" max="9" width="12.7109375" customWidth="1"/>
    <col min="10" max="10" width="12.7109375" style="3" customWidth="1"/>
    <col min="11" max="15" width="12.7109375" customWidth="1"/>
    <col min="16" max="16" width="12.7109375" style="3" customWidth="1"/>
    <col min="17" max="38" width="12.7109375" customWidth="1"/>
  </cols>
  <sheetData>
    <row r="1" spans="1:38" s="9" customFormat="1" ht="15" customHeight="1" thickBot="1" x14ac:dyDescent="0.25">
      <c r="A1" s="110" t="s">
        <v>6</v>
      </c>
      <c r="B1" s="113" t="s">
        <v>7</v>
      </c>
      <c r="C1" s="116" t="s">
        <v>140</v>
      </c>
      <c r="D1" s="117"/>
      <c r="E1" s="117"/>
      <c r="F1" s="118"/>
      <c r="G1" s="116" t="s">
        <v>143</v>
      </c>
      <c r="H1" s="117"/>
      <c r="I1" s="117"/>
      <c r="J1" s="118"/>
      <c r="K1" s="105" t="s">
        <v>145</v>
      </c>
      <c r="L1" s="106"/>
      <c r="M1" s="106"/>
      <c r="N1" s="106"/>
      <c r="O1" s="106"/>
      <c r="P1" s="107"/>
      <c r="Q1" s="96" t="s">
        <v>147</v>
      </c>
      <c r="R1" s="97"/>
      <c r="S1" s="97"/>
      <c r="T1" s="97"/>
      <c r="U1" s="97"/>
      <c r="V1" s="98"/>
      <c r="W1" s="112" t="s">
        <v>148</v>
      </c>
      <c r="X1" s="125"/>
      <c r="Y1" s="122"/>
      <c r="Z1" s="89" t="s">
        <v>151</v>
      </c>
      <c r="AA1" s="89"/>
      <c r="AB1" s="89"/>
      <c r="AC1" s="89" t="s">
        <v>152</v>
      </c>
      <c r="AD1" s="89"/>
      <c r="AE1" s="89"/>
      <c r="AF1" s="89"/>
      <c r="AG1" s="89"/>
      <c r="AH1" s="89" t="s">
        <v>153</v>
      </c>
      <c r="AI1" s="89"/>
      <c r="AJ1" s="89"/>
      <c r="AK1" s="89"/>
      <c r="AL1" s="89"/>
    </row>
    <row r="2" spans="1:38" s="9" customFormat="1" ht="15" customHeight="1" x14ac:dyDescent="0.2">
      <c r="A2" s="111"/>
      <c r="B2" s="114"/>
      <c r="C2" s="119" t="s">
        <v>13</v>
      </c>
      <c r="D2" s="121" t="s">
        <v>141</v>
      </c>
      <c r="E2" s="123" t="s">
        <v>142</v>
      </c>
      <c r="F2" s="103">
        <v>2</v>
      </c>
      <c r="G2" s="90" t="s">
        <v>13</v>
      </c>
      <c r="H2" s="99" t="s">
        <v>144</v>
      </c>
      <c r="I2" s="99" t="s">
        <v>142</v>
      </c>
      <c r="J2" s="101">
        <v>0.5</v>
      </c>
      <c r="K2" s="108" t="s">
        <v>13</v>
      </c>
      <c r="L2" s="94" t="s">
        <v>141</v>
      </c>
      <c r="M2" s="94" t="s">
        <v>146</v>
      </c>
      <c r="N2" s="94" t="s">
        <v>142</v>
      </c>
      <c r="O2" s="94" t="s">
        <v>146</v>
      </c>
      <c r="P2" s="101">
        <v>6</v>
      </c>
      <c r="Q2" s="90" t="s">
        <v>13</v>
      </c>
      <c r="R2" s="99" t="s">
        <v>141</v>
      </c>
      <c r="S2" s="99" t="s">
        <v>146</v>
      </c>
      <c r="T2" s="99" t="s">
        <v>142</v>
      </c>
      <c r="U2" s="99" t="s">
        <v>146</v>
      </c>
      <c r="V2" s="103">
        <v>6</v>
      </c>
      <c r="W2" s="90" t="s">
        <v>149</v>
      </c>
      <c r="X2" s="123" t="s">
        <v>150</v>
      </c>
      <c r="Y2" s="103">
        <v>0.5</v>
      </c>
      <c r="Z2" s="90" t="s">
        <v>149</v>
      </c>
      <c r="AA2" s="123" t="s">
        <v>150</v>
      </c>
      <c r="AB2" s="103">
        <v>0.2</v>
      </c>
      <c r="AC2" s="90" t="s">
        <v>141</v>
      </c>
      <c r="AD2" s="92" t="s">
        <v>146</v>
      </c>
      <c r="AE2" s="99" t="s">
        <v>142</v>
      </c>
      <c r="AF2" s="92" t="s">
        <v>146</v>
      </c>
      <c r="AG2" s="103">
        <v>1.5</v>
      </c>
      <c r="AH2" s="90" t="s">
        <v>141</v>
      </c>
      <c r="AI2" s="92" t="s">
        <v>146</v>
      </c>
      <c r="AJ2" s="99" t="s">
        <v>142</v>
      </c>
      <c r="AK2" s="92" t="s">
        <v>146</v>
      </c>
      <c r="AL2" s="103">
        <v>3</v>
      </c>
    </row>
    <row r="3" spans="1:38" s="9" customFormat="1" ht="56.25" customHeight="1" thickBot="1" x14ac:dyDescent="0.25">
      <c r="A3" s="112"/>
      <c r="B3" s="115"/>
      <c r="C3" s="120"/>
      <c r="D3" s="122"/>
      <c r="E3" s="124"/>
      <c r="F3" s="104"/>
      <c r="G3" s="91"/>
      <c r="H3" s="100"/>
      <c r="I3" s="100"/>
      <c r="J3" s="102"/>
      <c r="K3" s="109"/>
      <c r="L3" s="95"/>
      <c r="M3" s="95"/>
      <c r="N3" s="95"/>
      <c r="O3" s="95"/>
      <c r="P3" s="102"/>
      <c r="Q3" s="91"/>
      <c r="R3" s="100"/>
      <c r="S3" s="100"/>
      <c r="T3" s="100"/>
      <c r="U3" s="100"/>
      <c r="V3" s="104"/>
      <c r="W3" s="91"/>
      <c r="X3" s="124"/>
      <c r="Y3" s="104"/>
      <c r="Z3" s="91"/>
      <c r="AA3" s="124"/>
      <c r="AB3" s="104"/>
      <c r="AC3" s="91"/>
      <c r="AD3" s="93"/>
      <c r="AE3" s="100"/>
      <c r="AF3" s="93"/>
      <c r="AG3" s="104"/>
      <c r="AH3" s="91"/>
      <c r="AI3" s="93"/>
      <c r="AJ3" s="100"/>
      <c r="AK3" s="93"/>
      <c r="AL3" s="104"/>
    </row>
    <row r="4" spans="1:38" s="11" customFormat="1" ht="28.5" customHeight="1" x14ac:dyDescent="0.2">
      <c r="A4" s="69"/>
      <c r="B4" s="69"/>
      <c r="C4" s="10" t="s">
        <v>201</v>
      </c>
      <c r="D4" s="10" t="s">
        <v>154</v>
      </c>
      <c r="E4" s="10" t="s">
        <v>155</v>
      </c>
      <c r="F4" s="40"/>
      <c r="G4" s="10" t="s">
        <v>202</v>
      </c>
      <c r="H4" s="10" t="s">
        <v>156</v>
      </c>
      <c r="I4" s="10" t="s">
        <v>157</v>
      </c>
      <c r="J4" s="41"/>
      <c r="K4" s="10" t="s">
        <v>203</v>
      </c>
      <c r="L4" s="10" t="s">
        <v>158</v>
      </c>
      <c r="M4" s="10" t="s">
        <v>159</v>
      </c>
      <c r="N4" s="10" t="s">
        <v>160</v>
      </c>
      <c r="O4" s="10" t="s">
        <v>161</v>
      </c>
      <c r="P4" s="38"/>
      <c r="Q4" s="10" t="s">
        <v>204</v>
      </c>
      <c r="R4" s="10" t="s">
        <v>176</v>
      </c>
      <c r="S4" s="10" t="s">
        <v>177</v>
      </c>
      <c r="T4" s="10" t="s">
        <v>162</v>
      </c>
      <c r="U4" s="10" t="s">
        <v>163</v>
      </c>
      <c r="V4" s="38"/>
      <c r="W4" s="10" t="s">
        <v>164</v>
      </c>
      <c r="X4" s="10" t="s">
        <v>165</v>
      </c>
      <c r="Y4" s="38"/>
      <c r="Z4" s="10" t="s">
        <v>166</v>
      </c>
      <c r="AA4" s="10" t="s">
        <v>167</v>
      </c>
      <c r="AB4" s="41"/>
      <c r="AC4" s="10" t="s">
        <v>168</v>
      </c>
      <c r="AD4" s="10" t="s">
        <v>169</v>
      </c>
      <c r="AE4" s="10" t="s">
        <v>170</v>
      </c>
      <c r="AF4" s="10" t="s">
        <v>171</v>
      </c>
      <c r="AG4" s="38"/>
      <c r="AH4" s="12" t="s">
        <v>172</v>
      </c>
      <c r="AI4" s="12" t="s">
        <v>173</v>
      </c>
      <c r="AJ4" s="10" t="s">
        <v>174</v>
      </c>
      <c r="AK4" s="10" t="s">
        <v>175</v>
      </c>
      <c r="AL4" s="38"/>
    </row>
    <row r="5" spans="1:38" s="9" customFormat="1" ht="15" customHeight="1" x14ac:dyDescent="0.2">
      <c r="A5" s="7">
        <v>1</v>
      </c>
      <c r="B5" s="7">
        <v>2</v>
      </c>
      <c r="C5" s="39">
        <v>3</v>
      </c>
      <c r="D5" s="39">
        <v>4</v>
      </c>
      <c r="E5" s="39">
        <v>5</v>
      </c>
      <c r="F5" s="8">
        <v>6</v>
      </c>
      <c r="G5" s="39">
        <v>7</v>
      </c>
      <c r="H5" s="39">
        <v>8</v>
      </c>
      <c r="I5" s="39">
        <v>9</v>
      </c>
      <c r="J5" s="8">
        <v>10</v>
      </c>
      <c r="K5" s="39">
        <v>11</v>
      </c>
      <c r="L5" s="39">
        <v>12</v>
      </c>
      <c r="M5" s="39">
        <v>13</v>
      </c>
      <c r="N5" s="39">
        <v>14</v>
      </c>
      <c r="O5" s="39">
        <v>15</v>
      </c>
      <c r="P5" s="8">
        <v>16</v>
      </c>
      <c r="Q5" s="39">
        <v>17</v>
      </c>
      <c r="R5" s="39">
        <v>18</v>
      </c>
      <c r="S5" s="39">
        <v>19</v>
      </c>
      <c r="T5" s="39">
        <v>20</v>
      </c>
      <c r="U5" s="39">
        <v>21</v>
      </c>
      <c r="V5" s="8">
        <v>22</v>
      </c>
      <c r="W5" s="39">
        <v>23</v>
      </c>
      <c r="X5" s="39">
        <v>24</v>
      </c>
      <c r="Y5" s="8">
        <v>25</v>
      </c>
      <c r="Z5" s="39">
        <v>26</v>
      </c>
      <c r="AA5" s="39">
        <v>27</v>
      </c>
      <c r="AB5" s="8">
        <v>28</v>
      </c>
      <c r="AC5" s="39">
        <v>29</v>
      </c>
      <c r="AD5" s="39">
        <v>30</v>
      </c>
      <c r="AE5" s="39">
        <v>31</v>
      </c>
      <c r="AF5" s="39">
        <v>32</v>
      </c>
      <c r="AG5" s="8">
        <v>33</v>
      </c>
      <c r="AH5" s="39">
        <v>34</v>
      </c>
      <c r="AI5" s="39">
        <v>35</v>
      </c>
      <c r="AJ5" s="39">
        <v>36</v>
      </c>
      <c r="AK5" s="39">
        <v>37</v>
      </c>
      <c r="AL5" s="8">
        <v>38</v>
      </c>
    </row>
    <row r="6" spans="1:38" s="15" customFormat="1" ht="15" customHeight="1" x14ac:dyDescent="0.25">
      <c r="A6" s="20"/>
      <c r="B6" s="26"/>
      <c r="C6" s="20"/>
      <c r="D6" s="20"/>
      <c r="E6" s="20"/>
      <c r="F6" s="21" t="e">
        <f>((D6+E6)/C6)*100</f>
        <v>#DIV/0!</v>
      </c>
      <c r="G6" s="20"/>
      <c r="H6" s="20"/>
      <c r="I6" s="20"/>
      <c r="J6" s="21" t="e">
        <f t="shared" ref="J6:J8" si="0">((H6+I6)/G6)*100</f>
        <v>#DIV/0!</v>
      </c>
      <c r="K6" s="20"/>
      <c r="L6" s="20"/>
      <c r="M6" s="29"/>
      <c r="N6" s="29"/>
      <c r="O6" s="20"/>
      <c r="P6" s="24" t="e">
        <f>((L6+N6)/K6)*100</f>
        <v>#DIV/0!</v>
      </c>
      <c r="Q6" s="20"/>
      <c r="R6" s="29"/>
      <c r="S6" s="29"/>
      <c r="T6" s="20"/>
      <c r="U6" s="20"/>
      <c r="V6" s="24" t="e">
        <f>((R6+T6)/Q6)*100</f>
        <v>#DIV/0!</v>
      </c>
      <c r="W6" s="20"/>
      <c r="X6" s="20"/>
      <c r="Y6" s="21" t="e">
        <f>((W6+X6)/C6)*100</f>
        <v>#DIV/0!</v>
      </c>
      <c r="Z6" s="20"/>
      <c r="AA6" s="20"/>
      <c r="AB6" s="21" t="e">
        <f>((Z6+AA6)/G6)*100</f>
        <v>#DIV/0!</v>
      </c>
      <c r="AC6" s="67"/>
      <c r="AD6" s="67"/>
      <c r="AE6" s="20"/>
      <c r="AF6" s="20"/>
      <c r="AG6" s="24" t="e">
        <f>((AC6+AE6)/K6)*100</f>
        <v>#DIV/0!</v>
      </c>
      <c r="AH6" s="67"/>
      <c r="AI6" s="67"/>
      <c r="AJ6" s="20"/>
      <c r="AK6" s="20"/>
      <c r="AL6" s="24" t="e">
        <f>((AH6+AJ6)/Q6)*100</f>
        <v>#DIV/0!</v>
      </c>
    </row>
    <row r="7" spans="1:38" s="15" customFormat="1" ht="15" customHeight="1" x14ac:dyDescent="0.25">
      <c r="A7" s="22"/>
      <c r="B7" s="27"/>
      <c r="C7" s="23"/>
      <c r="D7" s="23"/>
      <c r="E7" s="23"/>
      <c r="F7" s="21" t="e">
        <f>((D7+E7)/C7)*100</f>
        <v>#DIV/0!</v>
      </c>
      <c r="G7" s="23"/>
      <c r="H7" s="23"/>
      <c r="I7" s="23"/>
      <c r="J7" s="24" t="e">
        <f t="shared" si="0"/>
        <v>#DIV/0!</v>
      </c>
      <c r="K7" s="23"/>
      <c r="L7" s="23"/>
      <c r="M7" s="23"/>
      <c r="N7" s="23"/>
      <c r="O7" s="23"/>
      <c r="P7" s="24" t="e">
        <f t="shared" ref="P7:P8" si="1">((L7+N7)/K7)*100</f>
        <v>#DIV/0!</v>
      </c>
      <c r="Q7" s="23"/>
      <c r="R7" s="23"/>
      <c r="S7" s="23"/>
      <c r="T7" s="23"/>
      <c r="U7" s="23"/>
      <c r="V7" s="24" t="e">
        <f t="shared" ref="V7:V8" si="2">((R7+T7)/Q7)*100</f>
        <v>#DIV/0!</v>
      </c>
      <c r="W7" s="23"/>
      <c r="X7" s="23"/>
      <c r="Y7" s="24" t="e">
        <f t="shared" ref="Y7:Y8" si="3">((W7+X7)/C7)*100</f>
        <v>#DIV/0!</v>
      </c>
      <c r="Z7" s="23"/>
      <c r="AA7" s="23"/>
      <c r="AB7" s="24" t="e">
        <f t="shared" ref="AB7:AB8" si="4">((Z7+AA7)/G7)*100</f>
        <v>#DIV/0!</v>
      </c>
      <c r="AC7" s="68"/>
      <c r="AD7" s="68"/>
      <c r="AE7" s="23"/>
      <c r="AF7" s="23"/>
      <c r="AG7" s="24" t="e">
        <f t="shared" ref="AG7:AG8" si="5">((AC7+AE7)/K7)*100</f>
        <v>#DIV/0!</v>
      </c>
      <c r="AH7" s="68"/>
      <c r="AI7" s="68"/>
      <c r="AJ7" s="23"/>
      <c r="AK7" s="23"/>
      <c r="AL7" s="24" t="e">
        <f t="shared" ref="AL7:AL8" si="6">((AH7+AJ7)/Q7)*100</f>
        <v>#DIV/0!</v>
      </c>
    </row>
    <row r="8" spans="1:38" x14ac:dyDescent="0.25">
      <c r="A8" s="13"/>
      <c r="B8" s="13"/>
      <c r="C8" s="13">
        <f>SUM(C6:C7)</f>
        <v>0</v>
      </c>
      <c r="D8" s="13">
        <f t="shared" ref="D8:AK8" si="7">SUM(D6:D7)</f>
        <v>0</v>
      </c>
      <c r="E8" s="13">
        <f t="shared" si="7"/>
        <v>0</v>
      </c>
      <c r="F8" s="25" t="e">
        <f>((D8+E8)/C8)*100</f>
        <v>#DIV/0!</v>
      </c>
      <c r="G8" s="13">
        <f t="shared" si="7"/>
        <v>0</v>
      </c>
      <c r="H8" s="13">
        <f t="shared" si="7"/>
        <v>0</v>
      </c>
      <c r="I8" s="13">
        <f t="shared" si="7"/>
        <v>0</v>
      </c>
      <c r="J8" s="25" t="e">
        <f t="shared" si="0"/>
        <v>#DIV/0!</v>
      </c>
      <c r="K8" s="13">
        <f>SUM(K6:K7)</f>
        <v>0</v>
      </c>
      <c r="L8" s="13">
        <f t="shared" ref="L8:O8" si="8">SUM(L6:L7)</f>
        <v>0</v>
      </c>
      <c r="M8" s="13">
        <f t="shared" si="8"/>
        <v>0</v>
      </c>
      <c r="N8" s="13">
        <f t="shared" si="8"/>
        <v>0</v>
      </c>
      <c r="O8" s="13">
        <f t="shared" si="8"/>
        <v>0</v>
      </c>
      <c r="P8" s="25" t="e">
        <f t="shared" si="1"/>
        <v>#DIV/0!</v>
      </c>
      <c r="Q8" s="13">
        <f t="shared" si="7"/>
        <v>0</v>
      </c>
      <c r="R8" s="13">
        <f t="shared" si="7"/>
        <v>0</v>
      </c>
      <c r="S8" s="13">
        <f t="shared" si="7"/>
        <v>0</v>
      </c>
      <c r="T8" s="13">
        <f t="shared" si="7"/>
        <v>0</v>
      </c>
      <c r="U8" s="13">
        <f t="shared" si="7"/>
        <v>0</v>
      </c>
      <c r="V8" s="25" t="e">
        <f t="shared" si="2"/>
        <v>#DIV/0!</v>
      </c>
      <c r="W8" s="13">
        <f t="shared" si="7"/>
        <v>0</v>
      </c>
      <c r="X8" s="13">
        <f t="shared" si="7"/>
        <v>0</v>
      </c>
      <c r="Y8" s="28" t="e">
        <f t="shared" si="3"/>
        <v>#DIV/0!</v>
      </c>
      <c r="Z8" s="13">
        <f t="shared" si="7"/>
        <v>0</v>
      </c>
      <c r="AA8" s="13">
        <f t="shared" si="7"/>
        <v>0</v>
      </c>
      <c r="AB8" s="28" t="e">
        <f t="shared" si="4"/>
        <v>#DIV/0!</v>
      </c>
      <c r="AC8" s="13">
        <f t="shared" ref="AC8:AF8" si="9">SUM(AC6:AC7)</f>
        <v>0</v>
      </c>
      <c r="AD8" s="13">
        <f t="shared" si="9"/>
        <v>0</v>
      </c>
      <c r="AE8" s="13">
        <f t="shared" si="9"/>
        <v>0</v>
      </c>
      <c r="AF8" s="13">
        <f t="shared" si="9"/>
        <v>0</v>
      </c>
      <c r="AG8" s="25" t="e">
        <f t="shared" si="5"/>
        <v>#DIV/0!</v>
      </c>
      <c r="AH8" s="13">
        <f t="shared" si="7"/>
        <v>0</v>
      </c>
      <c r="AI8" s="13">
        <f t="shared" si="7"/>
        <v>0</v>
      </c>
      <c r="AJ8" s="13">
        <f t="shared" si="7"/>
        <v>0</v>
      </c>
      <c r="AK8" s="13">
        <f t="shared" si="7"/>
        <v>0</v>
      </c>
      <c r="AL8" s="25" t="e">
        <f t="shared" si="6"/>
        <v>#DIV/0!</v>
      </c>
    </row>
  </sheetData>
  <mergeCells count="46">
    <mergeCell ref="W1:Y1"/>
    <mergeCell ref="Z1:AB1"/>
    <mergeCell ref="AL2:AL3"/>
    <mergeCell ref="W2:W3"/>
    <mergeCell ref="X2:X3"/>
    <mergeCell ref="Y2:Y3"/>
    <mergeCell ref="Z2:Z3"/>
    <mergeCell ref="AA2:AA3"/>
    <mergeCell ref="AB2:AB3"/>
    <mergeCell ref="AE2:AE3"/>
    <mergeCell ref="AF2:AF3"/>
    <mergeCell ref="AG2:AG3"/>
    <mergeCell ref="AJ2:AJ3"/>
    <mergeCell ref="AK2:AK3"/>
    <mergeCell ref="AH2:AH3"/>
    <mergeCell ref="AI2:AI3"/>
    <mergeCell ref="L2:L3"/>
    <mergeCell ref="O2:O3"/>
    <mergeCell ref="A1:A3"/>
    <mergeCell ref="B1:B3"/>
    <mergeCell ref="C1:F1"/>
    <mergeCell ref="C2:C3"/>
    <mergeCell ref="G1:J1"/>
    <mergeCell ref="G2:G3"/>
    <mergeCell ref="D2:D3"/>
    <mergeCell ref="E2:E3"/>
    <mergeCell ref="F2:F3"/>
    <mergeCell ref="H2:H3"/>
    <mergeCell ref="I2:I3"/>
    <mergeCell ref="J2:J3"/>
    <mergeCell ref="AC1:AG1"/>
    <mergeCell ref="AH1:AL1"/>
    <mergeCell ref="AC2:AC3"/>
    <mergeCell ref="AD2:AD3"/>
    <mergeCell ref="M2:M3"/>
    <mergeCell ref="N2:N3"/>
    <mergeCell ref="Q1:V1"/>
    <mergeCell ref="Q2:Q3"/>
    <mergeCell ref="R2:R3"/>
    <mergeCell ref="S2:S3"/>
    <mergeCell ref="P2:P3"/>
    <mergeCell ref="T2:T3"/>
    <mergeCell ref="U2:U3"/>
    <mergeCell ref="V2:V3"/>
    <mergeCell ref="K1:P1"/>
    <mergeCell ref="K2:K3"/>
  </mergeCells>
  <conditionalFormatting sqref="F6:F7">
    <cfRule type="cellIs" dxfId="7" priority="11" operator="lessThan">
      <formula>2</formula>
    </cfRule>
  </conditionalFormatting>
  <conditionalFormatting sqref="J6:J7">
    <cfRule type="cellIs" dxfId="6" priority="10" operator="lessThan">
      <formula>0.5</formula>
    </cfRule>
  </conditionalFormatting>
  <conditionalFormatting sqref="P6:P7">
    <cfRule type="cellIs" dxfId="5" priority="9" operator="lessThan">
      <formula>6</formula>
    </cfRule>
  </conditionalFormatting>
  <conditionalFormatting sqref="Y6:Y7">
    <cfRule type="cellIs" dxfId="4" priority="7" operator="lessThan">
      <formula>0.5</formula>
    </cfRule>
  </conditionalFormatting>
  <conditionalFormatting sqref="AB6:AB7">
    <cfRule type="cellIs" dxfId="3" priority="6" operator="lessThan">
      <formula>0.2</formula>
    </cfRule>
  </conditionalFormatting>
  <conditionalFormatting sqref="V6:V7">
    <cfRule type="cellIs" dxfId="2" priority="3" operator="lessThan">
      <formula>6</formula>
    </cfRule>
  </conditionalFormatting>
  <conditionalFormatting sqref="AG6:AG7">
    <cfRule type="cellIs" dxfId="1" priority="2" operator="lessThan">
      <formula>1.5</formula>
    </cfRule>
  </conditionalFormatting>
  <conditionalFormatting sqref="AL6:AL7">
    <cfRule type="cellIs" dxfId="0" priority="1" operator="lessThan">
      <formula>3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>
      <selection activeCell="F13" sqref="F13"/>
    </sheetView>
  </sheetViews>
  <sheetFormatPr defaultRowHeight="15" x14ac:dyDescent="0.25"/>
  <cols>
    <col min="1" max="1" width="5.140625" customWidth="1"/>
    <col min="2" max="2" width="29.28515625" customWidth="1"/>
    <col min="3" max="7" width="21.42578125" customWidth="1"/>
  </cols>
  <sheetData>
    <row r="1" spans="1:7" ht="26.25" customHeight="1" x14ac:dyDescent="0.25">
      <c r="A1" s="74" t="s">
        <v>6</v>
      </c>
      <c r="B1" s="126" t="s">
        <v>7</v>
      </c>
      <c r="C1" s="126" t="s">
        <v>8</v>
      </c>
      <c r="D1" s="126" t="s">
        <v>12</v>
      </c>
      <c r="E1" s="126" t="s">
        <v>9</v>
      </c>
      <c r="F1" s="126" t="s">
        <v>10</v>
      </c>
      <c r="G1" s="126" t="s">
        <v>11</v>
      </c>
    </row>
    <row r="2" spans="1:7" ht="26.25" customHeight="1" x14ac:dyDescent="0.25">
      <c r="A2" s="75"/>
      <c r="B2" s="127"/>
      <c r="C2" s="127"/>
      <c r="D2" s="127"/>
      <c r="E2" s="127"/>
      <c r="F2" s="127"/>
      <c r="G2" s="127"/>
    </row>
    <row r="3" spans="1:7" ht="26.25" customHeight="1" x14ac:dyDescent="0.25">
      <c r="A3" s="76"/>
      <c r="B3" s="128"/>
      <c r="C3" s="128"/>
      <c r="D3" s="128"/>
      <c r="E3" s="128"/>
      <c r="F3" s="128"/>
      <c r="G3" s="128"/>
    </row>
    <row r="4" spans="1:7" x14ac:dyDescent="0.25">
      <c r="A4" s="14"/>
      <c r="B4" s="14"/>
      <c r="C4" s="14" t="s">
        <v>196</v>
      </c>
      <c r="D4" s="14" t="s">
        <v>197</v>
      </c>
      <c r="E4" s="14" t="s">
        <v>198</v>
      </c>
      <c r="F4" s="14" t="s">
        <v>199</v>
      </c>
      <c r="G4" s="14" t="s">
        <v>200</v>
      </c>
    </row>
    <row r="5" spans="1:7" s="3" customFormat="1" x14ac:dyDescent="0.25">
      <c r="A5" s="2">
        <v>1</v>
      </c>
      <c r="B5" s="2">
        <v>2</v>
      </c>
      <c r="C5" s="2">
        <v>3</v>
      </c>
      <c r="D5" s="2">
        <v>4</v>
      </c>
      <c r="E5" s="2">
        <v>5</v>
      </c>
      <c r="F5" s="2">
        <v>6</v>
      </c>
      <c r="G5" s="2">
        <v>7</v>
      </c>
    </row>
    <row r="6" spans="1:7" x14ac:dyDescent="0.25">
      <c r="A6" s="1"/>
      <c r="B6" s="1"/>
      <c r="C6" s="18"/>
      <c r="D6" s="18"/>
      <c r="E6" s="18"/>
      <c r="F6" s="18"/>
      <c r="G6" s="18"/>
    </row>
    <row r="7" spans="1:7" x14ac:dyDescent="0.25">
      <c r="A7" s="1"/>
      <c r="B7" s="1"/>
      <c r="C7" s="18"/>
      <c r="D7" s="18"/>
      <c r="E7" s="18"/>
      <c r="F7" s="18"/>
      <c r="G7" s="18"/>
    </row>
    <row r="8" spans="1:7" x14ac:dyDescent="0.25">
      <c r="C8" s="19">
        <f>SUM(C6:C7)</f>
        <v>0</v>
      </c>
      <c r="D8" s="19">
        <f t="shared" ref="D8:G8" si="0">SUM(D6:D7)</f>
        <v>0</v>
      </c>
      <c r="E8" s="19">
        <f t="shared" si="0"/>
        <v>0</v>
      </c>
      <c r="F8" s="19">
        <f t="shared" si="0"/>
        <v>0</v>
      </c>
      <c r="G8" s="19">
        <f t="shared" si="0"/>
        <v>0</v>
      </c>
    </row>
  </sheetData>
  <mergeCells count="7">
    <mergeCell ref="G1:G3"/>
    <mergeCell ref="A1:A3"/>
    <mergeCell ref="B1:B3"/>
    <mergeCell ref="C1:C3"/>
    <mergeCell ref="D1:D3"/>
    <mergeCell ref="E1:E3"/>
    <mergeCell ref="F1:F3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T7"/>
  <sheetViews>
    <sheetView tabSelected="1" zoomScale="85" zoomScaleNormal="85" workbookViewId="0">
      <selection activeCell="K2" sqref="K2"/>
    </sheetView>
  </sheetViews>
  <sheetFormatPr defaultColWidth="10.5703125" defaultRowHeight="15" x14ac:dyDescent="0.25"/>
  <cols>
    <col min="1" max="1" width="5.5703125" style="3" bestFit="1" customWidth="1"/>
    <col min="2" max="2" width="24.140625" customWidth="1"/>
    <col min="3" max="3" width="7.42578125" bestFit="1" customWidth="1"/>
    <col min="4" max="4" width="8.5703125" bestFit="1" customWidth="1"/>
    <col min="5" max="5" width="11.85546875" bestFit="1" customWidth="1"/>
    <col min="6" max="6" width="7.42578125" bestFit="1" customWidth="1"/>
    <col min="7" max="7" width="8.5703125" bestFit="1" customWidth="1"/>
    <col min="8" max="8" width="11.85546875" bestFit="1" customWidth="1"/>
    <col min="9" max="9" width="7.42578125" bestFit="1" customWidth="1"/>
    <col min="10" max="10" width="8.5703125" bestFit="1" customWidth="1"/>
    <col min="11" max="11" width="11.85546875" bestFit="1" customWidth="1"/>
    <col min="12" max="12" width="7.42578125" bestFit="1" customWidth="1"/>
    <col min="13" max="13" width="8.5703125" bestFit="1" customWidth="1"/>
    <col min="14" max="14" width="11.85546875" bestFit="1" customWidth="1"/>
    <col min="15" max="15" width="7.42578125" bestFit="1" customWidth="1"/>
    <col min="16" max="16" width="8.5703125" bestFit="1" customWidth="1"/>
    <col min="17" max="17" width="11.85546875" bestFit="1" customWidth="1"/>
    <col min="18" max="18" width="7.42578125" bestFit="1" customWidth="1"/>
    <col min="19" max="19" width="8.5703125" bestFit="1" customWidth="1"/>
    <col min="20" max="20" width="11.85546875" bestFit="1" customWidth="1"/>
    <col min="21" max="21" width="7.42578125" bestFit="1" customWidth="1"/>
    <col min="22" max="22" width="8.5703125" bestFit="1" customWidth="1"/>
    <col min="23" max="23" width="11.85546875" bestFit="1" customWidth="1"/>
    <col min="24" max="24" width="7.42578125" bestFit="1" customWidth="1"/>
    <col min="25" max="25" width="8.5703125" bestFit="1" customWidth="1"/>
    <col min="26" max="26" width="11.85546875" bestFit="1" customWidth="1"/>
    <col min="27" max="27" width="7.42578125" bestFit="1" customWidth="1"/>
    <col min="28" max="28" width="8.5703125" bestFit="1" customWidth="1"/>
    <col min="29" max="29" width="11.85546875" bestFit="1" customWidth="1"/>
    <col min="30" max="30" width="7.42578125" bestFit="1" customWidth="1"/>
    <col min="31" max="31" width="8.5703125" bestFit="1" customWidth="1"/>
    <col min="32" max="32" width="11.85546875" bestFit="1" customWidth="1"/>
    <col min="33" max="33" width="7.42578125" bestFit="1" customWidth="1"/>
    <col min="34" max="34" width="8.5703125" bestFit="1" customWidth="1"/>
    <col min="35" max="35" width="11.85546875" bestFit="1" customWidth="1"/>
    <col min="36" max="36" width="7.42578125" bestFit="1" customWidth="1"/>
    <col min="37" max="37" width="8.5703125" bestFit="1" customWidth="1"/>
    <col min="38" max="38" width="11.85546875" bestFit="1" customWidth="1"/>
    <col min="39" max="39" width="7.42578125" bestFit="1" customWidth="1"/>
    <col min="40" max="40" width="8.5703125" bestFit="1" customWidth="1"/>
    <col min="41" max="41" width="11.85546875" bestFit="1" customWidth="1"/>
    <col min="42" max="42" width="7.42578125" bestFit="1" customWidth="1"/>
    <col min="43" max="43" width="8.5703125" bestFit="1" customWidth="1"/>
    <col min="44" max="44" width="11.85546875" bestFit="1" customWidth="1"/>
    <col min="45" max="45" width="7.42578125" bestFit="1" customWidth="1"/>
    <col min="46" max="46" width="8.5703125" bestFit="1" customWidth="1"/>
    <col min="47" max="47" width="11.85546875" bestFit="1" customWidth="1"/>
    <col min="48" max="48" width="7.42578125" bestFit="1" customWidth="1"/>
    <col min="49" max="49" width="8.5703125" bestFit="1" customWidth="1"/>
    <col min="50" max="50" width="11.85546875" bestFit="1" customWidth="1"/>
    <col min="51" max="51" width="7.42578125" bestFit="1" customWidth="1"/>
    <col min="52" max="52" width="8.5703125" bestFit="1" customWidth="1"/>
    <col min="53" max="53" width="11.85546875" bestFit="1" customWidth="1"/>
    <col min="54" max="54" width="7.42578125" bestFit="1" customWidth="1"/>
    <col min="55" max="55" width="8.5703125" bestFit="1" customWidth="1"/>
    <col min="56" max="56" width="11.85546875" bestFit="1" customWidth="1"/>
    <col min="57" max="57" width="7.42578125" bestFit="1" customWidth="1"/>
    <col min="58" max="58" width="8.5703125" bestFit="1" customWidth="1"/>
    <col min="59" max="59" width="11.85546875" bestFit="1" customWidth="1"/>
    <col min="60" max="60" width="7.42578125" bestFit="1" customWidth="1"/>
    <col min="61" max="61" width="8.5703125" bestFit="1" customWidth="1"/>
    <col min="62" max="62" width="11.85546875" bestFit="1" customWidth="1"/>
    <col min="63" max="63" width="7.42578125" bestFit="1" customWidth="1"/>
    <col min="64" max="64" width="8.5703125" bestFit="1" customWidth="1"/>
    <col min="65" max="65" width="11.85546875" bestFit="1" customWidth="1"/>
    <col min="66" max="66" width="7.42578125" bestFit="1" customWidth="1"/>
    <col min="67" max="67" width="8.5703125" bestFit="1" customWidth="1"/>
    <col min="68" max="68" width="11.85546875" bestFit="1" customWidth="1"/>
    <col min="69" max="69" width="7.42578125" bestFit="1" customWidth="1"/>
    <col min="70" max="70" width="8.5703125" bestFit="1" customWidth="1"/>
    <col min="71" max="71" width="11.85546875" bestFit="1" customWidth="1"/>
    <col min="72" max="72" width="7.42578125" bestFit="1" customWidth="1"/>
    <col min="73" max="73" width="8.5703125" bestFit="1" customWidth="1"/>
    <col min="74" max="74" width="11.85546875" bestFit="1" customWidth="1"/>
    <col min="75" max="75" width="7.42578125" bestFit="1" customWidth="1"/>
    <col min="76" max="76" width="8.5703125" bestFit="1" customWidth="1"/>
    <col min="77" max="77" width="11.85546875" bestFit="1" customWidth="1"/>
    <col min="78" max="78" width="7.42578125" bestFit="1" customWidth="1"/>
    <col min="79" max="79" width="8.5703125" bestFit="1" customWidth="1"/>
    <col min="80" max="80" width="11.85546875" bestFit="1" customWidth="1"/>
    <col min="81" max="81" width="7.42578125" bestFit="1" customWidth="1"/>
    <col min="82" max="82" width="8.5703125" bestFit="1" customWidth="1"/>
    <col min="83" max="83" width="11.85546875" bestFit="1" customWidth="1"/>
    <col min="84" max="84" width="7.42578125" bestFit="1" customWidth="1"/>
    <col min="85" max="85" width="8.5703125" bestFit="1" customWidth="1"/>
    <col min="86" max="86" width="11.85546875" bestFit="1" customWidth="1"/>
    <col min="87" max="87" width="7.42578125" bestFit="1" customWidth="1"/>
    <col min="88" max="88" width="8.5703125" bestFit="1" customWidth="1"/>
    <col min="89" max="89" width="11.85546875" bestFit="1" customWidth="1"/>
    <col min="90" max="90" width="7.42578125" bestFit="1" customWidth="1"/>
    <col min="91" max="91" width="8.5703125" bestFit="1" customWidth="1"/>
    <col min="92" max="92" width="11.85546875" bestFit="1" customWidth="1"/>
    <col min="93" max="93" width="7.42578125" bestFit="1" customWidth="1"/>
    <col min="94" max="94" width="8.5703125" bestFit="1" customWidth="1"/>
    <col min="95" max="95" width="11.85546875" bestFit="1" customWidth="1"/>
    <col min="96" max="96" width="7.42578125" bestFit="1" customWidth="1"/>
    <col min="97" max="97" width="8.5703125" bestFit="1" customWidth="1"/>
    <col min="98" max="98" width="11.85546875" bestFit="1" customWidth="1"/>
  </cols>
  <sheetData>
    <row r="1" spans="1:98" s="32" customFormat="1" ht="132" customHeight="1" x14ac:dyDescent="0.25">
      <c r="A1" s="139" t="s">
        <v>6</v>
      </c>
      <c r="B1" s="137" t="s">
        <v>7</v>
      </c>
      <c r="C1" s="132" t="s">
        <v>109</v>
      </c>
      <c r="D1" s="133"/>
      <c r="E1" s="134"/>
      <c r="F1" s="135" t="s">
        <v>110</v>
      </c>
      <c r="G1" s="133"/>
      <c r="H1" s="136"/>
      <c r="I1" s="132" t="s">
        <v>111</v>
      </c>
      <c r="J1" s="133"/>
      <c r="K1" s="134"/>
      <c r="L1" s="135" t="s">
        <v>112</v>
      </c>
      <c r="M1" s="133"/>
      <c r="N1" s="136"/>
      <c r="O1" s="132" t="s">
        <v>113</v>
      </c>
      <c r="P1" s="133"/>
      <c r="Q1" s="134"/>
      <c r="R1" s="135" t="s">
        <v>114</v>
      </c>
      <c r="S1" s="133"/>
      <c r="T1" s="136"/>
      <c r="U1" s="132" t="s">
        <v>115</v>
      </c>
      <c r="V1" s="133"/>
      <c r="W1" s="134"/>
      <c r="X1" s="130" t="s">
        <v>116</v>
      </c>
      <c r="Y1" s="130"/>
      <c r="Z1" s="130"/>
      <c r="AA1" s="129" t="s">
        <v>117</v>
      </c>
      <c r="AB1" s="130"/>
      <c r="AC1" s="131"/>
      <c r="AD1" s="130" t="s">
        <v>118</v>
      </c>
      <c r="AE1" s="130"/>
      <c r="AF1" s="130"/>
      <c r="AG1" s="129" t="s">
        <v>119</v>
      </c>
      <c r="AH1" s="130"/>
      <c r="AI1" s="131"/>
      <c r="AJ1" s="130" t="s">
        <v>120</v>
      </c>
      <c r="AK1" s="130"/>
      <c r="AL1" s="130"/>
      <c r="AM1" s="129" t="s">
        <v>118</v>
      </c>
      <c r="AN1" s="130"/>
      <c r="AO1" s="131"/>
      <c r="AP1" s="130" t="s">
        <v>119</v>
      </c>
      <c r="AQ1" s="130"/>
      <c r="AR1" s="130"/>
      <c r="AS1" s="129" t="s">
        <v>121</v>
      </c>
      <c r="AT1" s="130"/>
      <c r="AU1" s="131"/>
      <c r="AV1" s="130" t="s">
        <v>118</v>
      </c>
      <c r="AW1" s="130"/>
      <c r="AX1" s="130"/>
      <c r="AY1" s="129" t="s">
        <v>122</v>
      </c>
      <c r="AZ1" s="130"/>
      <c r="BA1" s="131"/>
      <c r="BB1" s="130" t="s">
        <v>123</v>
      </c>
      <c r="BC1" s="130"/>
      <c r="BD1" s="130"/>
      <c r="BE1" s="132" t="s">
        <v>124</v>
      </c>
      <c r="BF1" s="133"/>
      <c r="BG1" s="134"/>
      <c r="BH1" s="135" t="s">
        <v>125</v>
      </c>
      <c r="BI1" s="133"/>
      <c r="BJ1" s="136"/>
      <c r="BK1" s="132" t="s">
        <v>126</v>
      </c>
      <c r="BL1" s="133"/>
      <c r="BM1" s="134"/>
      <c r="BN1" s="135" t="s">
        <v>127</v>
      </c>
      <c r="BO1" s="133"/>
      <c r="BP1" s="136"/>
      <c r="BQ1" s="129" t="s">
        <v>128</v>
      </c>
      <c r="BR1" s="130"/>
      <c r="BS1" s="131"/>
      <c r="BT1" s="130" t="s">
        <v>129</v>
      </c>
      <c r="BU1" s="130"/>
      <c r="BV1" s="130"/>
      <c r="BW1" s="129" t="s">
        <v>130</v>
      </c>
      <c r="BX1" s="130"/>
      <c r="BY1" s="131"/>
      <c r="BZ1" s="130" t="s">
        <v>131</v>
      </c>
      <c r="CA1" s="130"/>
      <c r="CB1" s="130"/>
      <c r="CC1" s="132" t="s">
        <v>132</v>
      </c>
      <c r="CD1" s="133"/>
      <c r="CE1" s="134"/>
      <c r="CF1" s="135" t="s">
        <v>133</v>
      </c>
      <c r="CG1" s="133"/>
      <c r="CH1" s="136"/>
      <c r="CI1" s="132" t="s">
        <v>134</v>
      </c>
      <c r="CJ1" s="133"/>
      <c r="CK1" s="134"/>
      <c r="CL1" s="135" t="s">
        <v>133</v>
      </c>
      <c r="CM1" s="133"/>
      <c r="CN1" s="134"/>
      <c r="CO1" s="132" t="s">
        <v>135</v>
      </c>
      <c r="CP1" s="133"/>
      <c r="CQ1" s="134"/>
      <c r="CR1" s="132" t="s">
        <v>133</v>
      </c>
      <c r="CS1" s="133"/>
      <c r="CT1" s="134"/>
    </row>
    <row r="2" spans="1:98" s="32" customFormat="1" ht="101.25" customHeight="1" x14ac:dyDescent="0.25">
      <c r="A2" s="140"/>
      <c r="B2" s="138"/>
      <c r="C2" s="46" t="s">
        <v>136</v>
      </c>
      <c r="D2" s="17" t="s">
        <v>137</v>
      </c>
      <c r="E2" s="47" t="s">
        <v>138</v>
      </c>
      <c r="F2" s="37" t="s">
        <v>136</v>
      </c>
      <c r="G2" s="17" t="s">
        <v>137</v>
      </c>
      <c r="H2" s="35" t="s">
        <v>138</v>
      </c>
      <c r="I2" s="46" t="s">
        <v>136</v>
      </c>
      <c r="J2" s="17" t="s">
        <v>137</v>
      </c>
      <c r="K2" s="47" t="s">
        <v>138</v>
      </c>
      <c r="L2" s="34" t="s">
        <v>136</v>
      </c>
      <c r="M2" s="31" t="s">
        <v>137</v>
      </c>
      <c r="N2" s="33" t="s">
        <v>138</v>
      </c>
      <c r="O2" s="59" t="s">
        <v>136</v>
      </c>
      <c r="P2" s="31" t="s">
        <v>137</v>
      </c>
      <c r="Q2" s="60" t="s">
        <v>138</v>
      </c>
      <c r="R2" s="34" t="s">
        <v>136</v>
      </c>
      <c r="S2" s="31" t="s">
        <v>137</v>
      </c>
      <c r="T2" s="33" t="s">
        <v>138</v>
      </c>
      <c r="U2" s="59" t="s">
        <v>136</v>
      </c>
      <c r="V2" s="17" t="s">
        <v>137</v>
      </c>
      <c r="W2" s="47" t="s">
        <v>138</v>
      </c>
      <c r="X2" s="37" t="s">
        <v>136</v>
      </c>
      <c r="Y2" s="17" t="s">
        <v>137</v>
      </c>
      <c r="Z2" s="35" t="s">
        <v>138</v>
      </c>
      <c r="AA2" s="46" t="s">
        <v>136</v>
      </c>
      <c r="AB2" s="17" t="s">
        <v>137</v>
      </c>
      <c r="AC2" s="47" t="s">
        <v>138</v>
      </c>
      <c r="AD2" s="37" t="s">
        <v>136</v>
      </c>
      <c r="AE2" s="17" t="s">
        <v>137</v>
      </c>
      <c r="AF2" s="35" t="s">
        <v>138</v>
      </c>
      <c r="AG2" s="46" t="s">
        <v>136</v>
      </c>
      <c r="AH2" s="17" t="s">
        <v>137</v>
      </c>
      <c r="AI2" s="47" t="s">
        <v>138</v>
      </c>
      <c r="AJ2" s="37" t="s">
        <v>136</v>
      </c>
      <c r="AK2" s="17" t="s">
        <v>137</v>
      </c>
      <c r="AL2" s="35" t="s">
        <v>138</v>
      </c>
      <c r="AM2" s="46" t="s">
        <v>136</v>
      </c>
      <c r="AN2" s="17" t="s">
        <v>137</v>
      </c>
      <c r="AO2" s="47" t="s">
        <v>138</v>
      </c>
      <c r="AP2" s="37" t="s">
        <v>136</v>
      </c>
      <c r="AQ2" s="17" t="s">
        <v>137</v>
      </c>
      <c r="AR2" s="35" t="s">
        <v>138</v>
      </c>
      <c r="AS2" s="46" t="s">
        <v>136</v>
      </c>
      <c r="AT2" s="17" t="s">
        <v>137</v>
      </c>
      <c r="AU2" s="47" t="s">
        <v>138</v>
      </c>
      <c r="AV2" s="37" t="s">
        <v>136</v>
      </c>
      <c r="AW2" s="17" t="s">
        <v>137</v>
      </c>
      <c r="AX2" s="35" t="s">
        <v>138</v>
      </c>
      <c r="AY2" s="46" t="s">
        <v>136</v>
      </c>
      <c r="AZ2" s="17" t="s">
        <v>137</v>
      </c>
      <c r="BA2" s="47" t="s">
        <v>138</v>
      </c>
      <c r="BB2" s="37" t="s">
        <v>136</v>
      </c>
      <c r="BC2" s="17" t="s">
        <v>137</v>
      </c>
      <c r="BD2" s="35" t="s">
        <v>138</v>
      </c>
      <c r="BE2" s="46" t="s">
        <v>136</v>
      </c>
      <c r="BF2" s="17" t="s">
        <v>137</v>
      </c>
      <c r="BG2" s="47" t="s">
        <v>138</v>
      </c>
      <c r="BH2" s="37" t="s">
        <v>136</v>
      </c>
      <c r="BI2" s="17" t="s">
        <v>137</v>
      </c>
      <c r="BJ2" s="35" t="s">
        <v>138</v>
      </c>
      <c r="BK2" s="46" t="s">
        <v>136</v>
      </c>
      <c r="BL2" s="17" t="s">
        <v>137</v>
      </c>
      <c r="BM2" s="47" t="s">
        <v>138</v>
      </c>
      <c r="BN2" s="37" t="s">
        <v>136</v>
      </c>
      <c r="BO2" s="17" t="s">
        <v>137</v>
      </c>
      <c r="BP2" s="35" t="s">
        <v>138</v>
      </c>
      <c r="BQ2" s="46" t="s">
        <v>136</v>
      </c>
      <c r="BR2" s="17" t="s">
        <v>137</v>
      </c>
      <c r="BS2" s="47" t="s">
        <v>138</v>
      </c>
      <c r="BT2" s="37" t="s">
        <v>136</v>
      </c>
      <c r="BU2" s="17" t="s">
        <v>137</v>
      </c>
      <c r="BV2" s="35" t="s">
        <v>138</v>
      </c>
      <c r="BW2" s="46" t="s">
        <v>136</v>
      </c>
      <c r="BX2" s="17" t="s">
        <v>137</v>
      </c>
      <c r="BY2" s="47" t="s">
        <v>138</v>
      </c>
      <c r="BZ2" s="37" t="s">
        <v>136</v>
      </c>
      <c r="CA2" s="17" t="s">
        <v>137</v>
      </c>
      <c r="CB2" s="35" t="s">
        <v>138</v>
      </c>
      <c r="CC2" s="46" t="s">
        <v>136</v>
      </c>
      <c r="CD2" s="17" t="s">
        <v>137</v>
      </c>
      <c r="CE2" s="47" t="s">
        <v>138</v>
      </c>
      <c r="CF2" s="37" t="s">
        <v>136</v>
      </c>
      <c r="CG2" s="17" t="s">
        <v>137</v>
      </c>
      <c r="CH2" s="35" t="s">
        <v>138</v>
      </c>
      <c r="CI2" s="46" t="s">
        <v>136</v>
      </c>
      <c r="CJ2" s="17" t="s">
        <v>137</v>
      </c>
      <c r="CK2" s="47" t="s">
        <v>138</v>
      </c>
      <c r="CL2" s="37" t="s">
        <v>136</v>
      </c>
      <c r="CM2" s="17" t="s">
        <v>137</v>
      </c>
      <c r="CN2" s="47" t="s">
        <v>138</v>
      </c>
      <c r="CO2" s="46" t="s">
        <v>136</v>
      </c>
      <c r="CP2" s="17" t="s">
        <v>137</v>
      </c>
      <c r="CQ2" s="47" t="s">
        <v>138</v>
      </c>
      <c r="CR2" s="46" t="s">
        <v>136</v>
      </c>
      <c r="CS2" s="17" t="s">
        <v>137</v>
      </c>
      <c r="CT2" s="47" t="s">
        <v>138</v>
      </c>
    </row>
    <row r="3" spans="1:98" s="16" customFormat="1" ht="15" customHeight="1" x14ac:dyDescent="0.25">
      <c r="A3" s="64">
        <v>1</v>
      </c>
      <c r="B3" s="61">
        <v>2</v>
      </c>
      <c r="C3" s="55">
        <v>3</v>
      </c>
      <c r="D3" s="29">
        <v>4</v>
      </c>
      <c r="E3" s="58">
        <v>5</v>
      </c>
      <c r="F3" s="57">
        <v>6</v>
      </c>
      <c r="G3" s="29">
        <v>7</v>
      </c>
      <c r="H3" s="54">
        <v>8</v>
      </c>
      <c r="I3" s="55">
        <v>9</v>
      </c>
      <c r="J3" s="29">
        <v>10</v>
      </c>
      <c r="K3" s="58">
        <v>11</v>
      </c>
      <c r="L3" s="57">
        <v>12</v>
      </c>
      <c r="M3" s="29">
        <v>13</v>
      </c>
      <c r="N3" s="54">
        <v>14</v>
      </c>
      <c r="O3" s="55">
        <v>15</v>
      </c>
      <c r="P3" s="29">
        <v>16</v>
      </c>
      <c r="Q3" s="58">
        <v>17</v>
      </c>
      <c r="R3" s="57">
        <v>18</v>
      </c>
      <c r="S3" s="29">
        <v>19</v>
      </c>
      <c r="T3" s="54">
        <v>20</v>
      </c>
      <c r="U3" s="55">
        <v>21</v>
      </c>
      <c r="V3" s="29">
        <v>22</v>
      </c>
      <c r="W3" s="58">
        <v>23</v>
      </c>
      <c r="X3" s="57">
        <v>24</v>
      </c>
      <c r="Y3" s="29">
        <v>25</v>
      </c>
      <c r="Z3" s="54">
        <v>26</v>
      </c>
      <c r="AA3" s="55">
        <v>27</v>
      </c>
      <c r="AB3" s="29">
        <v>28</v>
      </c>
      <c r="AC3" s="58">
        <v>29</v>
      </c>
      <c r="AD3" s="57">
        <v>30</v>
      </c>
      <c r="AE3" s="29">
        <v>31</v>
      </c>
      <c r="AF3" s="54">
        <v>32</v>
      </c>
      <c r="AG3" s="55">
        <v>33</v>
      </c>
      <c r="AH3" s="29">
        <v>34</v>
      </c>
      <c r="AI3" s="58">
        <v>35</v>
      </c>
      <c r="AJ3" s="57">
        <v>36</v>
      </c>
      <c r="AK3" s="29">
        <v>37</v>
      </c>
      <c r="AL3" s="54">
        <v>38</v>
      </c>
      <c r="AM3" s="55">
        <v>39</v>
      </c>
      <c r="AN3" s="29">
        <v>40</v>
      </c>
      <c r="AO3" s="58">
        <v>41</v>
      </c>
      <c r="AP3" s="57">
        <v>42</v>
      </c>
      <c r="AQ3" s="29">
        <v>43</v>
      </c>
      <c r="AR3" s="54">
        <v>44</v>
      </c>
      <c r="AS3" s="55">
        <v>45</v>
      </c>
      <c r="AT3" s="29">
        <v>46</v>
      </c>
      <c r="AU3" s="58">
        <v>47</v>
      </c>
      <c r="AV3" s="57">
        <v>48</v>
      </c>
      <c r="AW3" s="29">
        <v>49</v>
      </c>
      <c r="AX3" s="54">
        <v>50</v>
      </c>
      <c r="AY3" s="55">
        <v>51</v>
      </c>
      <c r="AZ3" s="29">
        <v>52</v>
      </c>
      <c r="BA3" s="58">
        <v>53</v>
      </c>
      <c r="BB3" s="57">
        <v>54</v>
      </c>
      <c r="BC3" s="29">
        <v>55</v>
      </c>
      <c r="BD3" s="54">
        <v>56</v>
      </c>
      <c r="BE3" s="55">
        <v>57</v>
      </c>
      <c r="BF3" s="29">
        <v>58</v>
      </c>
      <c r="BG3" s="58">
        <v>59</v>
      </c>
      <c r="BH3" s="57">
        <v>60</v>
      </c>
      <c r="BI3" s="29">
        <v>61</v>
      </c>
      <c r="BJ3" s="54">
        <v>62</v>
      </c>
      <c r="BK3" s="55">
        <v>63</v>
      </c>
      <c r="BL3" s="29">
        <v>64</v>
      </c>
      <c r="BM3" s="58">
        <v>65</v>
      </c>
      <c r="BN3" s="57">
        <v>66</v>
      </c>
      <c r="BO3" s="29">
        <v>67</v>
      </c>
      <c r="BP3" s="54">
        <v>68</v>
      </c>
      <c r="BQ3" s="55">
        <v>69</v>
      </c>
      <c r="BR3" s="29">
        <v>70</v>
      </c>
      <c r="BS3" s="49">
        <v>71</v>
      </c>
      <c r="BT3" s="30">
        <v>72</v>
      </c>
      <c r="BU3" s="22">
        <v>73</v>
      </c>
      <c r="BV3" s="43">
        <v>74</v>
      </c>
      <c r="BW3" s="48">
        <v>75</v>
      </c>
      <c r="BX3" s="22">
        <v>76</v>
      </c>
      <c r="BY3" s="49">
        <v>77</v>
      </c>
      <c r="BZ3" s="30">
        <v>78</v>
      </c>
      <c r="CA3" s="22">
        <v>79</v>
      </c>
      <c r="CB3" s="43">
        <v>80</v>
      </c>
      <c r="CC3" s="48">
        <v>81</v>
      </c>
      <c r="CD3" s="22">
        <v>82</v>
      </c>
      <c r="CE3" s="49">
        <v>83</v>
      </c>
      <c r="CF3" s="30">
        <v>84</v>
      </c>
      <c r="CG3" s="22">
        <v>85</v>
      </c>
      <c r="CH3" s="43">
        <v>86</v>
      </c>
      <c r="CI3" s="48">
        <v>87</v>
      </c>
      <c r="CJ3" s="22">
        <v>88</v>
      </c>
      <c r="CK3" s="49">
        <v>89</v>
      </c>
      <c r="CL3" s="30">
        <v>90</v>
      </c>
      <c r="CM3" s="22">
        <v>91</v>
      </c>
      <c r="CN3" s="49">
        <v>92</v>
      </c>
      <c r="CO3" s="48">
        <v>93</v>
      </c>
      <c r="CP3" s="22">
        <v>94</v>
      </c>
      <c r="CQ3" s="49">
        <v>95</v>
      </c>
      <c r="CR3" s="48">
        <v>96</v>
      </c>
      <c r="CS3" s="22">
        <v>97</v>
      </c>
      <c r="CT3" s="49">
        <v>98</v>
      </c>
    </row>
    <row r="4" spans="1:98" s="32" customFormat="1" ht="15" customHeight="1" x14ac:dyDescent="0.25">
      <c r="A4" s="65"/>
      <c r="B4" s="62"/>
      <c r="C4" s="46">
        <f>D4+E4</f>
        <v>0</v>
      </c>
      <c r="D4" s="17"/>
      <c r="E4" s="47"/>
      <c r="F4" s="37">
        <f t="shared" ref="F4:F5" si="0">G4+H4</f>
        <v>0</v>
      </c>
      <c r="G4" s="17"/>
      <c r="H4" s="35"/>
      <c r="I4" s="46">
        <f t="shared" ref="I4:I5" si="1">J4+K4</f>
        <v>0</v>
      </c>
      <c r="J4" s="17"/>
      <c r="K4" s="47"/>
      <c r="L4" s="37">
        <f t="shared" ref="L4:L5" si="2">M4+N4</f>
        <v>0</v>
      </c>
      <c r="M4" s="17"/>
      <c r="N4" s="35"/>
      <c r="O4" s="46">
        <f t="shared" ref="O4:O5" si="3">P4+Q4</f>
        <v>0</v>
      </c>
      <c r="P4" s="17"/>
      <c r="Q4" s="47"/>
      <c r="R4" s="37">
        <f t="shared" ref="R4:R5" si="4">S4+T4</f>
        <v>0</v>
      </c>
      <c r="S4" s="17"/>
      <c r="T4" s="35"/>
      <c r="U4" s="46">
        <f t="shared" ref="U4:U5" si="5">V4+W4</f>
        <v>0</v>
      </c>
      <c r="V4" s="17"/>
      <c r="W4" s="47"/>
      <c r="X4" s="37">
        <f t="shared" ref="X4:X5" si="6">Y4+Z4</f>
        <v>0</v>
      </c>
      <c r="Y4" s="17"/>
      <c r="Z4" s="35"/>
      <c r="AA4" s="46">
        <f t="shared" ref="AA4:AA5" si="7">AB4+AC4</f>
        <v>0</v>
      </c>
      <c r="AB4" s="17"/>
      <c r="AC4" s="47"/>
      <c r="AD4" s="37">
        <f t="shared" ref="AD4:AD5" si="8">AE4+AF4</f>
        <v>0</v>
      </c>
      <c r="AE4" s="17"/>
      <c r="AF4" s="35"/>
      <c r="AG4" s="46">
        <f t="shared" ref="AG4:AG5" si="9">AH4+AI4</f>
        <v>0</v>
      </c>
      <c r="AH4" s="17"/>
      <c r="AI4" s="47"/>
      <c r="AJ4" s="37">
        <f t="shared" ref="AJ4:AJ5" si="10">AK4+AL4</f>
        <v>0</v>
      </c>
      <c r="AK4" s="17"/>
      <c r="AL4" s="35"/>
      <c r="AM4" s="46">
        <f t="shared" ref="AM4:AM5" si="11">AN4+AO4</f>
        <v>0</v>
      </c>
      <c r="AN4" s="17"/>
      <c r="AO4" s="47"/>
      <c r="AP4" s="37">
        <f t="shared" ref="AP4:AP5" si="12">AQ4+AR4</f>
        <v>0</v>
      </c>
      <c r="AQ4" s="17"/>
      <c r="AR4" s="35"/>
      <c r="AS4" s="46">
        <f t="shared" ref="AS4:AS5" si="13">AT4+AU4</f>
        <v>0</v>
      </c>
      <c r="AT4" s="17"/>
      <c r="AU4" s="47"/>
      <c r="AV4" s="37">
        <f t="shared" ref="AV4:AV5" si="14">AW4+AX4</f>
        <v>0</v>
      </c>
      <c r="AW4" s="17"/>
      <c r="AX4" s="35"/>
      <c r="AY4" s="46">
        <f t="shared" ref="AY4:AY5" si="15">AZ4+BA4</f>
        <v>0</v>
      </c>
      <c r="AZ4" s="17"/>
      <c r="BA4" s="47"/>
      <c r="BB4" s="37">
        <f t="shared" ref="BB4:BB5" si="16">BC4+BD4</f>
        <v>0</v>
      </c>
      <c r="BC4" s="17"/>
      <c r="BD4" s="35"/>
      <c r="BE4" s="46">
        <f t="shared" ref="BE4:BE5" si="17">BF4+BG4</f>
        <v>0</v>
      </c>
      <c r="BF4" s="17"/>
      <c r="BG4" s="47"/>
      <c r="BH4" s="37">
        <f t="shared" ref="BH4:BH5" si="18">BI4+BJ4</f>
        <v>0</v>
      </c>
      <c r="BI4" s="17"/>
      <c r="BJ4" s="35"/>
      <c r="BK4" s="46">
        <f t="shared" ref="BK4:BK5" si="19">BL4+BM4</f>
        <v>0</v>
      </c>
      <c r="BL4" s="17"/>
      <c r="BM4" s="47"/>
      <c r="BN4" s="37">
        <f t="shared" ref="BN4:BN5" si="20">BO4+BP4</f>
        <v>0</v>
      </c>
      <c r="BO4" s="17"/>
      <c r="BP4" s="35"/>
      <c r="BQ4" s="46">
        <f t="shared" ref="BQ4:BQ5" si="21">BR4+BS4</f>
        <v>0</v>
      </c>
      <c r="BR4" s="17"/>
      <c r="BS4" s="47"/>
      <c r="BT4" s="37">
        <f t="shared" ref="BT4:BT5" si="22">BU4+BV4</f>
        <v>0</v>
      </c>
      <c r="BU4" s="17"/>
      <c r="BV4" s="35"/>
      <c r="BW4" s="46">
        <f t="shared" ref="BW4:BW5" si="23">BX4+BY4</f>
        <v>0</v>
      </c>
      <c r="BX4" s="17"/>
      <c r="BY4" s="47"/>
      <c r="BZ4" s="37">
        <f>CA4</f>
        <v>0</v>
      </c>
      <c r="CA4" s="35"/>
      <c r="CB4" s="44" t="s">
        <v>139</v>
      </c>
      <c r="CC4" s="46">
        <f t="shared" ref="CC4" si="24">CD4</f>
        <v>0</v>
      </c>
      <c r="CD4" s="35"/>
      <c r="CE4" s="42" t="s">
        <v>139</v>
      </c>
      <c r="CF4" s="37">
        <f t="shared" ref="CF4" si="25">CG4</f>
        <v>0</v>
      </c>
      <c r="CG4" s="35"/>
      <c r="CH4" s="44" t="s">
        <v>139</v>
      </c>
      <c r="CI4" s="46">
        <f t="shared" ref="CI4" si="26">CJ4</f>
        <v>0</v>
      </c>
      <c r="CJ4" s="35"/>
      <c r="CK4" s="42" t="s">
        <v>139</v>
      </c>
      <c r="CL4" s="37">
        <f t="shared" ref="CL4" si="27">CM4</f>
        <v>0</v>
      </c>
      <c r="CM4" s="35"/>
      <c r="CN4" s="42" t="s">
        <v>139</v>
      </c>
      <c r="CO4" s="46">
        <f t="shared" ref="CO4" si="28">CP4</f>
        <v>0</v>
      </c>
      <c r="CP4" s="35"/>
      <c r="CQ4" s="42" t="s">
        <v>139</v>
      </c>
      <c r="CR4" s="46">
        <f t="shared" ref="CR4" si="29">CS4</f>
        <v>0</v>
      </c>
      <c r="CS4" s="35"/>
      <c r="CT4" s="42" t="s">
        <v>139</v>
      </c>
    </row>
    <row r="5" spans="1:98" s="32" customFormat="1" ht="15" customHeight="1" thickBot="1" x14ac:dyDescent="0.3">
      <c r="A5" s="66"/>
      <c r="B5" s="63"/>
      <c r="C5" s="50">
        <f>D5+E5</f>
        <v>0</v>
      </c>
      <c r="D5" s="53"/>
      <c r="E5" s="56"/>
      <c r="F5" s="52">
        <f t="shared" si="0"/>
        <v>0</v>
      </c>
      <c r="G5" s="53"/>
      <c r="H5" s="51"/>
      <c r="I5" s="50">
        <f t="shared" si="1"/>
        <v>0</v>
      </c>
      <c r="J5" s="53"/>
      <c r="K5" s="56"/>
      <c r="L5" s="52">
        <f t="shared" si="2"/>
        <v>0</v>
      </c>
      <c r="M5" s="53"/>
      <c r="N5" s="51"/>
      <c r="O5" s="50">
        <f t="shared" si="3"/>
        <v>0</v>
      </c>
      <c r="P5" s="53"/>
      <c r="Q5" s="56"/>
      <c r="R5" s="52">
        <f t="shared" si="4"/>
        <v>0</v>
      </c>
      <c r="S5" s="53"/>
      <c r="T5" s="51"/>
      <c r="U5" s="50">
        <f t="shared" si="5"/>
        <v>0</v>
      </c>
      <c r="V5" s="53"/>
      <c r="W5" s="56"/>
      <c r="X5" s="52">
        <f t="shared" si="6"/>
        <v>0</v>
      </c>
      <c r="Y5" s="53"/>
      <c r="Z5" s="51"/>
      <c r="AA5" s="50">
        <f t="shared" si="7"/>
        <v>0</v>
      </c>
      <c r="AB5" s="53"/>
      <c r="AC5" s="56"/>
      <c r="AD5" s="52">
        <f t="shared" si="8"/>
        <v>0</v>
      </c>
      <c r="AE5" s="53"/>
      <c r="AF5" s="51"/>
      <c r="AG5" s="50">
        <f t="shared" si="9"/>
        <v>0</v>
      </c>
      <c r="AH5" s="53"/>
      <c r="AI5" s="56"/>
      <c r="AJ5" s="52">
        <f t="shared" si="10"/>
        <v>0</v>
      </c>
      <c r="AK5" s="53"/>
      <c r="AL5" s="51"/>
      <c r="AM5" s="50">
        <f t="shared" si="11"/>
        <v>0</v>
      </c>
      <c r="AN5" s="53"/>
      <c r="AO5" s="56"/>
      <c r="AP5" s="52">
        <f t="shared" si="12"/>
        <v>0</v>
      </c>
      <c r="AQ5" s="53"/>
      <c r="AR5" s="51"/>
      <c r="AS5" s="50">
        <f t="shared" si="13"/>
        <v>0</v>
      </c>
      <c r="AT5" s="53"/>
      <c r="AU5" s="56"/>
      <c r="AV5" s="52">
        <f t="shared" si="14"/>
        <v>0</v>
      </c>
      <c r="AW5" s="53"/>
      <c r="AX5" s="51"/>
      <c r="AY5" s="50">
        <f t="shared" si="15"/>
        <v>0</v>
      </c>
      <c r="AZ5" s="53"/>
      <c r="BA5" s="56"/>
      <c r="BB5" s="52">
        <f t="shared" si="16"/>
        <v>0</v>
      </c>
      <c r="BC5" s="53"/>
      <c r="BD5" s="51"/>
      <c r="BE5" s="50">
        <f t="shared" si="17"/>
        <v>0</v>
      </c>
      <c r="BF5" s="53"/>
      <c r="BG5" s="56"/>
      <c r="BH5" s="52">
        <f t="shared" si="18"/>
        <v>0</v>
      </c>
      <c r="BI5" s="53"/>
      <c r="BJ5" s="51"/>
      <c r="BK5" s="50">
        <f t="shared" si="19"/>
        <v>0</v>
      </c>
      <c r="BL5" s="53"/>
      <c r="BM5" s="56"/>
      <c r="BN5" s="52">
        <f t="shared" si="20"/>
        <v>0</v>
      </c>
      <c r="BO5" s="53"/>
      <c r="BP5" s="51"/>
      <c r="BQ5" s="50">
        <f t="shared" si="21"/>
        <v>0</v>
      </c>
      <c r="BR5" s="53"/>
      <c r="BS5" s="56"/>
      <c r="BT5" s="52">
        <f t="shared" si="22"/>
        <v>0</v>
      </c>
      <c r="BU5" s="53"/>
      <c r="BV5" s="51"/>
      <c r="BW5" s="50">
        <f t="shared" si="23"/>
        <v>0</v>
      </c>
      <c r="BX5" s="53"/>
      <c r="BY5" s="56"/>
      <c r="BZ5" s="52">
        <f>CA5</f>
        <v>0</v>
      </c>
      <c r="CA5" s="51"/>
      <c r="CB5" s="45" t="s">
        <v>139</v>
      </c>
      <c r="CC5" s="50">
        <f t="shared" ref="CC5" si="30">CD5</f>
        <v>0</v>
      </c>
      <c r="CD5" s="51"/>
      <c r="CE5" s="36" t="s">
        <v>139</v>
      </c>
      <c r="CF5" s="52">
        <f t="shared" ref="CF5" si="31">CG5</f>
        <v>0</v>
      </c>
      <c r="CG5" s="51"/>
      <c r="CH5" s="45" t="s">
        <v>139</v>
      </c>
      <c r="CI5" s="50">
        <f t="shared" ref="CI5" si="32">CJ5</f>
        <v>0</v>
      </c>
      <c r="CJ5" s="51"/>
      <c r="CK5" s="36" t="s">
        <v>139</v>
      </c>
      <c r="CL5" s="52">
        <f t="shared" ref="CL5" si="33">CM5</f>
        <v>0</v>
      </c>
      <c r="CM5" s="51"/>
      <c r="CN5" s="36" t="s">
        <v>139</v>
      </c>
      <c r="CO5" s="50">
        <f t="shared" ref="CO5" si="34">CP5</f>
        <v>0</v>
      </c>
      <c r="CP5" s="51"/>
      <c r="CQ5" s="36" t="s">
        <v>139</v>
      </c>
      <c r="CR5" s="50">
        <f t="shared" ref="CR5" si="35">CS5</f>
        <v>0</v>
      </c>
      <c r="CS5" s="51"/>
      <c r="CT5" s="36" t="s">
        <v>139</v>
      </c>
    </row>
    <row r="6" spans="1:98" ht="15" customHeight="1" x14ac:dyDescent="0.25">
      <c r="C6">
        <f>SUM(C4:C5)</f>
        <v>0</v>
      </c>
      <c r="D6">
        <f t="shared" ref="D6:BO6" si="36">SUM(D4:D5)</f>
        <v>0</v>
      </c>
      <c r="E6">
        <f t="shared" si="36"/>
        <v>0</v>
      </c>
      <c r="F6">
        <f t="shared" si="36"/>
        <v>0</v>
      </c>
      <c r="G6">
        <f t="shared" si="36"/>
        <v>0</v>
      </c>
      <c r="H6">
        <f t="shared" si="36"/>
        <v>0</v>
      </c>
      <c r="I6">
        <f t="shared" si="36"/>
        <v>0</v>
      </c>
      <c r="J6">
        <f t="shared" si="36"/>
        <v>0</v>
      </c>
      <c r="K6">
        <f t="shared" si="36"/>
        <v>0</v>
      </c>
      <c r="L6">
        <f t="shared" si="36"/>
        <v>0</v>
      </c>
      <c r="M6">
        <f t="shared" si="36"/>
        <v>0</v>
      </c>
      <c r="N6">
        <f t="shared" si="36"/>
        <v>0</v>
      </c>
      <c r="O6">
        <f t="shared" si="36"/>
        <v>0</v>
      </c>
      <c r="P6">
        <f t="shared" si="36"/>
        <v>0</v>
      </c>
      <c r="Q6">
        <f t="shared" si="36"/>
        <v>0</v>
      </c>
      <c r="R6">
        <f t="shared" si="36"/>
        <v>0</v>
      </c>
      <c r="S6">
        <f t="shared" si="36"/>
        <v>0</v>
      </c>
      <c r="T6">
        <f t="shared" si="36"/>
        <v>0</v>
      </c>
      <c r="U6">
        <f t="shared" si="36"/>
        <v>0</v>
      </c>
      <c r="V6">
        <f t="shared" si="36"/>
        <v>0</v>
      </c>
      <c r="W6">
        <f t="shared" si="36"/>
        <v>0</v>
      </c>
      <c r="X6">
        <f t="shared" si="36"/>
        <v>0</v>
      </c>
      <c r="Y6">
        <f t="shared" si="36"/>
        <v>0</v>
      </c>
      <c r="Z6">
        <f t="shared" si="36"/>
        <v>0</v>
      </c>
      <c r="AA6">
        <f t="shared" si="36"/>
        <v>0</v>
      </c>
      <c r="AB6">
        <f t="shared" si="36"/>
        <v>0</v>
      </c>
      <c r="AC6">
        <f t="shared" si="36"/>
        <v>0</v>
      </c>
      <c r="AD6">
        <f t="shared" si="36"/>
        <v>0</v>
      </c>
      <c r="AE6">
        <f t="shared" si="36"/>
        <v>0</v>
      </c>
      <c r="AF6">
        <f t="shared" si="36"/>
        <v>0</v>
      </c>
      <c r="AG6">
        <f t="shared" si="36"/>
        <v>0</v>
      </c>
      <c r="AH6">
        <f t="shared" si="36"/>
        <v>0</v>
      </c>
      <c r="AI6">
        <f t="shared" si="36"/>
        <v>0</v>
      </c>
      <c r="AJ6">
        <f t="shared" si="36"/>
        <v>0</v>
      </c>
      <c r="AK6">
        <f t="shared" si="36"/>
        <v>0</v>
      </c>
      <c r="AL6">
        <f t="shared" si="36"/>
        <v>0</v>
      </c>
      <c r="AM6">
        <f t="shared" si="36"/>
        <v>0</v>
      </c>
      <c r="AN6">
        <f t="shared" si="36"/>
        <v>0</v>
      </c>
      <c r="AO6">
        <f t="shared" si="36"/>
        <v>0</v>
      </c>
      <c r="AP6">
        <f t="shared" si="36"/>
        <v>0</v>
      </c>
      <c r="AQ6">
        <f t="shared" si="36"/>
        <v>0</v>
      </c>
      <c r="AR6">
        <f t="shared" si="36"/>
        <v>0</v>
      </c>
      <c r="AS6">
        <f t="shared" si="36"/>
        <v>0</v>
      </c>
      <c r="AT6">
        <f t="shared" si="36"/>
        <v>0</v>
      </c>
      <c r="AU6">
        <f t="shared" si="36"/>
        <v>0</v>
      </c>
      <c r="AV6">
        <f t="shared" si="36"/>
        <v>0</v>
      </c>
      <c r="AW6">
        <f t="shared" si="36"/>
        <v>0</v>
      </c>
      <c r="AX6">
        <f t="shared" si="36"/>
        <v>0</v>
      </c>
      <c r="AY6">
        <f t="shared" si="36"/>
        <v>0</v>
      </c>
      <c r="AZ6">
        <f t="shared" si="36"/>
        <v>0</v>
      </c>
      <c r="BA6">
        <f t="shared" si="36"/>
        <v>0</v>
      </c>
      <c r="BB6">
        <f t="shared" si="36"/>
        <v>0</v>
      </c>
      <c r="BC6">
        <f t="shared" si="36"/>
        <v>0</v>
      </c>
      <c r="BD6">
        <f t="shared" si="36"/>
        <v>0</v>
      </c>
      <c r="BE6">
        <f t="shared" si="36"/>
        <v>0</v>
      </c>
      <c r="BF6">
        <f t="shared" si="36"/>
        <v>0</v>
      </c>
      <c r="BG6">
        <f t="shared" si="36"/>
        <v>0</v>
      </c>
      <c r="BH6">
        <f t="shared" si="36"/>
        <v>0</v>
      </c>
      <c r="BI6">
        <f t="shared" si="36"/>
        <v>0</v>
      </c>
      <c r="BJ6">
        <f t="shared" si="36"/>
        <v>0</v>
      </c>
      <c r="BK6">
        <f t="shared" si="36"/>
        <v>0</v>
      </c>
      <c r="BL6">
        <f t="shared" si="36"/>
        <v>0</v>
      </c>
      <c r="BM6">
        <f t="shared" si="36"/>
        <v>0</v>
      </c>
      <c r="BN6">
        <f t="shared" si="36"/>
        <v>0</v>
      </c>
      <c r="BO6">
        <f t="shared" si="36"/>
        <v>0</v>
      </c>
      <c r="BP6">
        <f t="shared" ref="BP6:CB6" si="37">SUM(BP4:BP5)</f>
        <v>0</v>
      </c>
      <c r="BQ6">
        <f t="shared" si="37"/>
        <v>0</v>
      </c>
      <c r="BR6">
        <f t="shared" si="37"/>
        <v>0</v>
      </c>
      <c r="BS6">
        <f t="shared" si="37"/>
        <v>0</v>
      </c>
      <c r="BT6">
        <f t="shared" si="37"/>
        <v>0</v>
      </c>
      <c r="BU6">
        <f t="shared" si="37"/>
        <v>0</v>
      </c>
      <c r="BV6">
        <f t="shared" si="37"/>
        <v>0</v>
      </c>
      <c r="BW6">
        <f t="shared" si="37"/>
        <v>0</v>
      </c>
      <c r="BX6">
        <f t="shared" si="37"/>
        <v>0</v>
      </c>
      <c r="BY6">
        <f t="shared" si="37"/>
        <v>0</v>
      </c>
      <c r="BZ6">
        <f t="shared" si="37"/>
        <v>0</v>
      </c>
      <c r="CA6">
        <f t="shared" si="37"/>
        <v>0</v>
      </c>
      <c r="CB6">
        <f t="shared" si="37"/>
        <v>0</v>
      </c>
      <c r="CC6">
        <f t="shared" ref="CC6" si="38">SUM(CC4:CC5)</f>
        <v>0</v>
      </c>
      <c r="CD6">
        <f t="shared" ref="CD6" si="39">SUM(CD4:CD5)</f>
        <v>0</v>
      </c>
      <c r="CE6">
        <f t="shared" ref="CE6" si="40">SUM(CE4:CE5)</f>
        <v>0</v>
      </c>
      <c r="CF6">
        <f t="shared" ref="CF6" si="41">SUM(CF4:CF5)</f>
        <v>0</v>
      </c>
      <c r="CG6">
        <f t="shared" ref="CG6" si="42">SUM(CG4:CG5)</f>
        <v>0</v>
      </c>
      <c r="CH6">
        <f t="shared" ref="CH6" si="43">SUM(CH4:CH5)</f>
        <v>0</v>
      </c>
      <c r="CI6">
        <f t="shared" ref="CI6" si="44">SUM(CI4:CI5)</f>
        <v>0</v>
      </c>
      <c r="CJ6">
        <f t="shared" ref="CJ6" si="45">SUM(CJ4:CJ5)</f>
        <v>0</v>
      </c>
      <c r="CK6">
        <f t="shared" ref="CK6" si="46">SUM(CK4:CK5)</f>
        <v>0</v>
      </c>
      <c r="CL6">
        <f t="shared" ref="CL6" si="47">SUM(CL4:CL5)</f>
        <v>0</v>
      </c>
      <c r="CM6">
        <f t="shared" ref="CM6" si="48">SUM(CM4:CM5)</f>
        <v>0</v>
      </c>
      <c r="CN6">
        <f t="shared" ref="CN6" si="49">SUM(CN4:CN5)</f>
        <v>0</v>
      </c>
      <c r="CO6">
        <f t="shared" ref="CO6" si="50">SUM(CO4:CO5)</f>
        <v>0</v>
      </c>
      <c r="CP6">
        <f t="shared" ref="CP6" si="51">SUM(CP4:CP5)</f>
        <v>0</v>
      </c>
      <c r="CQ6">
        <f t="shared" ref="CQ6" si="52">SUM(CQ4:CQ5)</f>
        <v>0</v>
      </c>
      <c r="CR6">
        <f t="shared" ref="CR6" si="53">SUM(CR4:CR5)</f>
        <v>0</v>
      </c>
      <c r="CS6">
        <f t="shared" ref="CS6" si="54">SUM(CS4:CS5)</f>
        <v>0</v>
      </c>
      <c r="CT6">
        <f t="shared" ref="CT6" si="55">SUM(CT4:CT5)</f>
        <v>0</v>
      </c>
    </row>
    <row r="7" spans="1:98" ht="15" customHeight="1" x14ac:dyDescent="0.25"/>
  </sheetData>
  <mergeCells count="34">
    <mergeCell ref="B1:B2"/>
    <mergeCell ref="A1:A2"/>
    <mergeCell ref="BZ1:CB1"/>
    <mergeCell ref="BW1:BY1"/>
    <mergeCell ref="BT1:BV1"/>
    <mergeCell ref="BQ1:BS1"/>
    <mergeCell ref="L1:N1"/>
    <mergeCell ref="O1:Q1"/>
    <mergeCell ref="R1:T1"/>
    <mergeCell ref="U1:W1"/>
    <mergeCell ref="C1:E1"/>
    <mergeCell ref="F1:H1"/>
    <mergeCell ref="I1:K1"/>
    <mergeCell ref="BB1:BD1"/>
    <mergeCell ref="AY1:BA1"/>
    <mergeCell ref="AP1:AR1"/>
    <mergeCell ref="CR1:CT1"/>
    <mergeCell ref="CO1:CQ1"/>
    <mergeCell ref="CL1:CN1"/>
    <mergeCell ref="CI1:CK1"/>
    <mergeCell ref="CF1:CH1"/>
    <mergeCell ref="CC1:CE1"/>
    <mergeCell ref="BN1:BP1"/>
    <mergeCell ref="BK1:BM1"/>
    <mergeCell ref="BH1:BJ1"/>
    <mergeCell ref="BE1:BG1"/>
    <mergeCell ref="AM1:AO1"/>
    <mergeCell ref="AJ1:AL1"/>
    <mergeCell ref="AS1:AU1"/>
    <mergeCell ref="AV1:AX1"/>
    <mergeCell ref="X1:Z1"/>
    <mergeCell ref="AA1:AC1"/>
    <mergeCell ref="AD1:AF1"/>
    <mergeCell ref="AG1:AI1"/>
  </mergeCell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Экспертиза</vt:lpstr>
      <vt:lpstr>Нормативы</vt:lpstr>
      <vt:lpstr>Финансы</vt:lpstr>
      <vt:lpstr>Кадры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2025-01-31T08:00:47Z</dcterms:modified>
</cp:coreProperties>
</file>